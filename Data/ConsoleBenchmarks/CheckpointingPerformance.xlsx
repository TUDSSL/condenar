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niveristy\TUDelft\Thesis\"/>
    </mc:Choice>
  </mc:AlternateContent>
  <xr:revisionPtr revIDLastSave="0" documentId="13_ncr:1_{F51D3392-6AF2-4AEA-83C8-E58B888716E1}" xr6:coauthVersionLast="47" xr6:coauthVersionMax="47" xr10:uidLastSave="{00000000-0000-0000-0000-000000000000}"/>
  <bookViews>
    <workbookView xWindow="28680" yWindow="-120" windowWidth="29040" windowHeight="15840" xr2:uid="{3554167F-67F9-43C8-8B8B-638154676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D32" i="1"/>
  <c r="E32" i="1"/>
  <c r="F32" i="1"/>
  <c r="D33" i="1"/>
  <c r="E33" i="1"/>
  <c r="F33" i="1"/>
  <c r="D34" i="1"/>
  <c r="E34" i="1"/>
  <c r="F34" i="1"/>
  <c r="C33" i="1"/>
  <c r="C34" i="1"/>
  <c r="C32" i="1"/>
  <c r="H31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C10" i="1"/>
  <c r="C11" i="1"/>
  <c r="C12" i="1"/>
  <c r="C13" i="1"/>
  <c r="C14" i="1"/>
  <c r="C15" i="1"/>
  <c r="C16" i="1"/>
  <c r="C17" i="1"/>
  <c r="C18" i="1"/>
  <c r="C19" i="1"/>
  <c r="C20" i="1"/>
  <c r="C9" i="1"/>
</calcChain>
</file>

<file path=xl/sharedStrings.xml><?xml version="1.0" encoding="utf-8"?>
<sst xmlns="http://schemas.openxmlformats.org/spreadsheetml/2006/main" count="7" uniqueCount="6">
  <si>
    <t>Heap % used</t>
  </si>
  <si>
    <t>FPS</t>
  </si>
  <si>
    <t>Frame time</t>
  </si>
  <si>
    <t>Frame time cap</t>
  </si>
  <si>
    <t>Extra time = FrameTimeCap - Frametime</t>
  </si>
  <si>
    <t>FPS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</si>
</sst>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Checkpointing</a:t>
            </a:r>
            <a:r>
              <a:rPr lang="en-US" baseline="0"/>
              <a:t> overhead vs heap % used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Sheet1!$C$7:$C$8</c:f>
              <c:strCache>
                <c:ptCount val="2"/>
                <c:pt idx="0">
                  <c:v>Heap % used</c:v>
                </c:pt>
                <c:pt idx="1">
                  <c:v>25%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Sheet1!$A$9:$B$20</c:f>
              <c:multiLvlStrCache>
                <c:ptCount val="12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30</c:v>
                  </c:pt>
                  <c:pt idx="6">
                    <c:v>35</c:v>
                  </c:pt>
                  <c:pt idx="7">
                    <c:v>40</c:v>
                  </c:pt>
                  <c:pt idx="8">
                    <c:v>45</c:v>
                  </c:pt>
                  <c:pt idx="9">
                    <c:v>50</c:v>
                  </c:pt>
                  <c:pt idx="10">
                    <c:v>55</c:v>
                  </c:pt>
                  <c:pt idx="11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Sheet1!$C$9:$C$20</c:f>
              <c:numCache>
                <c:formatCode>0%</c:formatCode>
                <c:ptCount val="12"/>
                <c:pt idx="0">
                  <c:v>3.7499999999999999E-3</c:v>
                </c:pt>
                <c:pt idx="1">
                  <c:v>7.4999999999999997E-3</c:v>
                </c:pt>
                <c:pt idx="2">
                  <c:v>1.125E-2</c:v>
                </c:pt>
                <c:pt idx="3">
                  <c:v>1.4999999999999999E-2</c:v>
                </c:pt>
                <c:pt idx="4">
                  <c:v>1.8749999999999999E-2</c:v>
                </c:pt>
                <c:pt idx="5">
                  <c:v>2.2499999999999999E-2</c:v>
                </c:pt>
                <c:pt idx="6">
                  <c:v>2.6249999999999999E-2</c:v>
                </c:pt>
                <c:pt idx="7">
                  <c:v>0.03</c:v>
                </c:pt>
                <c:pt idx="8">
                  <c:v>3.3750000000000002E-2</c:v>
                </c:pt>
                <c:pt idx="9">
                  <c:v>3.7499999999999999E-2</c:v>
                </c:pt>
                <c:pt idx="10">
                  <c:v>4.1249999999999995E-2</c:v>
                </c:pt>
                <c:pt idx="11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A-4F8E-A13E-EFAA596A6AF4}"/>
            </c:ext>
          </c:extLst>
        </c:ser>
        <c:ser>
          <c:idx val="1"/>
          <c:order val="1"/>
          <c:tx>
            <c:strRef>
              <c:f>Sheet1!$D$7:$D$8</c:f>
              <c:strCache>
                <c:ptCount val="2"/>
                <c:pt idx="0">
                  <c:v>Heap % used</c:v>
                </c:pt>
                <c:pt idx="1">
                  <c:v>50%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Sheet1!$A$9:$B$20</c:f>
              <c:multiLvlStrCache>
                <c:ptCount val="12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30</c:v>
                  </c:pt>
                  <c:pt idx="6">
                    <c:v>35</c:v>
                  </c:pt>
                  <c:pt idx="7">
                    <c:v>40</c:v>
                  </c:pt>
                  <c:pt idx="8">
                    <c:v>45</c:v>
                  </c:pt>
                  <c:pt idx="9">
                    <c:v>50</c:v>
                  </c:pt>
                  <c:pt idx="10">
                    <c:v>55</c:v>
                  </c:pt>
                  <c:pt idx="11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Sheet1!$D$9:$D$20</c:f>
              <c:numCache>
                <c:formatCode>0%</c:formatCode>
                <c:ptCount val="12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5.4999999999999993E-2</c:v>
                </c:pt>
                <c:pt idx="1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A-4F8E-A13E-EFAA596A6AF4}"/>
            </c:ext>
          </c:extLst>
        </c:ser>
        <c:ser>
          <c:idx val="2"/>
          <c:order val="2"/>
          <c:tx>
            <c:strRef>
              <c:f>Sheet1!$E$7:$E$8</c:f>
              <c:strCache>
                <c:ptCount val="2"/>
                <c:pt idx="0">
                  <c:v>Heap % used</c:v>
                </c:pt>
                <c:pt idx="1">
                  <c:v>75%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Sheet1!$A$9:$B$20</c:f>
              <c:multiLvlStrCache>
                <c:ptCount val="12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30</c:v>
                  </c:pt>
                  <c:pt idx="6">
                    <c:v>35</c:v>
                  </c:pt>
                  <c:pt idx="7">
                    <c:v>40</c:v>
                  </c:pt>
                  <c:pt idx="8">
                    <c:v>45</c:v>
                  </c:pt>
                  <c:pt idx="9">
                    <c:v>50</c:v>
                  </c:pt>
                  <c:pt idx="10">
                    <c:v>55</c:v>
                  </c:pt>
                  <c:pt idx="11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Sheet1!$E$9:$E$20</c:f>
              <c:numCache>
                <c:formatCode>0%</c:formatCode>
                <c:ptCount val="12"/>
                <c:pt idx="0">
                  <c:v>6.2500000000000003E-3</c:v>
                </c:pt>
                <c:pt idx="1">
                  <c:v>1.2500000000000001E-2</c:v>
                </c:pt>
                <c:pt idx="2">
                  <c:v>1.8749999999999999E-2</c:v>
                </c:pt>
                <c:pt idx="3">
                  <c:v>2.5000000000000001E-2</c:v>
                </c:pt>
                <c:pt idx="4">
                  <c:v>3.125E-2</c:v>
                </c:pt>
                <c:pt idx="5">
                  <c:v>3.7499999999999999E-2</c:v>
                </c:pt>
                <c:pt idx="6">
                  <c:v>4.3749999999999997E-2</c:v>
                </c:pt>
                <c:pt idx="7">
                  <c:v>0.05</c:v>
                </c:pt>
                <c:pt idx="8">
                  <c:v>5.6250000000000001E-2</c:v>
                </c:pt>
                <c:pt idx="9">
                  <c:v>6.25E-2</c:v>
                </c:pt>
                <c:pt idx="10">
                  <c:v>6.8749999999999992E-2</c:v>
                </c:pt>
                <c:pt idx="11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A-4F8E-A13E-EFAA596A6AF4}"/>
            </c:ext>
          </c:extLst>
        </c:ser>
        <c:ser>
          <c:idx val="3"/>
          <c:order val="3"/>
          <c:tx>
            <c:strRef>
              <c:f>Sheet1!$F$7:$F$8</c:f>
              <c:strCache>
                <c:ptCount val="2"/>
                <c:pt idx="0">
                  <c:v>Heap % used</c:v>
                </c:pt>
                <c:pt idx="1">
                  <c:v>100%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Sheet1!$A$9:$B$20</c:f>
              <c:multiLvlStrCache>
                <c:ptCount val="12"/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30</c:v>
                  </c:pt>
                  <c:pt idx="6">
                    <c:v>35</c:v>
                  </c:pt>
                  <c:pt idx="7">
                    <c:v>40</c:v>
                  </c:pt>
                  <c:pt idx="8">
                    <c:v>45</c:v>
                  </c:pt>
                  <c:pt idx="9">
                    <c:v>50</c:v>
                  </c:pt>
                  <c:pt idx="10">
                    <c:v>55</c:v>
                  </c:pt>
                  <c:pt idx="11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Sheet1!$F$9:$F$20</c:f>
              <c:numCache>
                <c:formatCode>0%</c:formatCode>
                <c:ptCount val="12"/>
                <c:pt idx="0">
                  <c:v>7.4999999999999997E-3</c:v>
                </c:pt>
                <c:pt idx="1">
                  <c:v>1.4999999999999999E-2</c:v>
                </c:pt>
                <c:pt idx="2">
                  <c:v>2.2499999999999999E-2</c:v>
                </c:pt>
                <c:pt idx="3">
                  <c:v>0.03</c:v>
                </c:pt>
                <c:pt idx="4">
                  <c:v>3.7499999999999999E-2</c:v>
                </c:pt>
                <c:pt idx="5">
                  <c:v>4.4999999999999998E-2</c:v>
                </c:pt>
                <c:pt idx="6">
                  <c:v>5.2499999999999998E-2</c:v>
                </c:pt>
                <c:pt idx="7">
                  <c:v>0.06</c:v>
                </c:pt>
                <c:pt idx="8">
                  <c:v>6.7500000000000004E-2</c:v>
                </c:pt>
                <c:pt idx="9">
                  <c:v>7.4999999999999997E-2</c:v>
                </c:pt>
                <c:pt idx="10">
                  <c:v>8.249999999999999E-2</c:v>
                </c:pt>
                <c:pt idx="11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A-4F8E-A13E-EFAA596A6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81504"/>
        <c:axId val="130282464"/>
      </c:barChart>
      <c:catAx>
        <c:axId val="13028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2464"/>
        <c:crosses val="autoZero"/>
        <c:auto val="1"/>
        <c:lblAlgn val="ctr"/>
        <c:lblOffset val="100"/>
        <c:noMultiLvlLbl val="0"/>
      </c:catAx>
      <c:valAx>
        <c:axId val="13028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Sheet1!$C$30:$C$31</c:f>
              <c:strCache>
                <c:ptCount val="2"/>
                <c:pt idx="0">
                  <c:v>FPS Limit</c:v>
                </c:pt>
                <c:pt idx="1">
                  <c:v>10.00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Sheet1!$A$32:$B$54</c:f>
              <c:multiLvlStrCache>
                <c:ptCount val="23"/>
                <c:lvl>
                  <c:pt idx="0">
                    <c:v>5</c:v>
                  </c:pt>
                  <c:pt idx="1">
                    <c:v>7.5</c:v>
                  </c:pt>
                  <c:pt idx="2">
                    <c:v>10</c:v>
                  </c:pt>
                  <c:pt idx="3">
                    <c:v>12.5</c:v>
                  </c:pt>
                  <c:pt idx="4">
                    <c:v>15</c:v>
                  </c:pt>
                  <c:pt idx="5">
                    <c:v>17.5</c:v>
                  </c:pt>
                  <c:pt idx="6">
                    <c:v>20</c:v>
                  </c:pt>
                  <c:pt idx="7">
                    <c:v>22.5</c:v>
                  </c:pt>
                  <c:pt idx="8">
                    <c:v>25</c:v>
                  </c:pt>
                  <c:pt idx="9">
                    <c:v>27.5</c:v>
                  </c:pt>
                  <c:pt idx="10">
                    <c:v>30</c:v>
                  </c:pt>
                  <c:pt idx="11">
                    <c:v>32.5</c:v>
                  </c:pt>
                  <c:pt idx="12">
                    <c:v>35</c:v>
                  </c:pt>
                  <c:pt idx="13">
                    <c:v>37.5</c:v>
                  </c:pt>
                  <c:pt idx="14">
                    <c:v>40</c:v>
                  </c:pt>
                  <c:pt idx="15">
                    <c:v>42.5</c:v>
                  </c:pt>
                  <c:pt idx="16">
                    <c:v>45</c:v>
                  </c:pt>
                  <c:pt idx="17">
                    <c:v>47.5</c:v>
                  </c:pt>
                  <c:pt idx="18">
                    <c:v>50</c:v>
                  </c:pt>
                  <c:pt idx="19">
                    <c:v>52.5</c:v>
                  </c:pt>
                  <c:pt idx="20">
                    <c:v>55</c:v>
                  </c:pt>
                  <c:pt idx="21">
                    <c:v>57.5</c:v>
                  </c:pt>
                  <c:pt idx="22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Sheet1!$C$32:$C$54</c:f>
              <c:numCache>
                <c:formatCode>0%</c:formatCode>
                <c:ptCount val="23"/>
                <c:pt idx="0">
                  <c:v>3.7499999999999999E-3</c:v>
                </c:pt>
                <c:pt idx="1">
                  <c:v>5.6249999999999998E-3</c:v>
                </c:pt>
                <c:pt idx="2">
                  <c:v>7.4999999999999997E-3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C-4D83-B3D5-11FE1DFCAD7B}"/>
            </c:ext>
          </c:extLst>
        </c:ser>
        <c:ser>
          <c:idx val="1"/>
          <c:order val="1"/>
          <c:tx>
            <c:strRef>
              <c:f>Sheet1!$D$30:$D$31</c:f>
              <c:strCache>
                <c:ptCount val="2"/>
                <c:pt idx="0">
                  <c:v>FPS Limit</c:v>
                </c:pt>
                <c:pt idx="1">
                  <c:v>20.00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Sheet1!$A$32:$B$54</c:f>
              <c:multiLvlStrCache>
                <c:ptCount val="23"/>
                <c:lvl>
                  <c:pt idx="0">
                    <c:v>5</c:v>
                  </c:pt>
                  <c:pt idx="1">
                    <c:v>7.5</c:v>
                  </c:pt>
                  <c:pt idx="2">
                    <c:v>10</c:v>
                  </c:pt>
                  <c:pt idx="3">
                    <c:v>12.5</c:v>
                  </c:pt>
                  <c:pt idx="4">
                    <c:v>15</c:v>
                  </c:pt>
                  <c:pt idx="5">
                    <c:v>17.5</c:v>
                  </c:pt>
                  <c:pt idx="6">
                    <c:v>20</c:v>
                  </c:pt>
                  <c:pt idx="7">
                    <c:v>22.5</c:v>
                  </c:pt>
                  <c:pt idx="8">
                    <c:v>25</c:v>
                  </c:pt>
                  <c:pt idx="9">
                    <c:v>27.5</c:v>
                  </c:pt>
                  <c:pt idx="10">
                    <c:v>30</c:v>
                  </c:pt>
                  <c:pt idx="11">
                    <c:v>32.5</c:v>
                  </c:pt>
                  <c:pt idx="12">
                    <c:v>35</c:v>
                  </c:pt>
                  <c:pt idx="13">
                    <c:v>37.5</c:v>
                  </c:pt>
                  <c:pt idx="14">
                    <c:v>40</c:v>
                  </c:pt>
                  <c:pt idx="15">
                    <c:v>42.5</c:v>
                  </c:pt>
                  <c:pt idx="16">
                    <c:v>45</c:v>
                  </c:pt>
                  <c:pt idx="17">
                    <c:v>47.5</c:v>
                  </c:pt>
                  <c:pt idx="18">
                    <c:v>50</c:v>
                  </c:pt>
                  <c:pt idx="19">
                    <c:v>52.5</c:v>
                  </c:pt>
                  <c:pt idx="20">
                    <c:v>55</c:v>
                  </c:pt>
                  <c:pt idx="21">
                    <c:v>57.5</c:v>
                  </c:pt>
                  <c:pt idx="22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Sheet1!$D$32:$D$54</c:f>
              <c:numCache>
                <c:formatCode>0%</c:formatCode>
                <c:ptCount val="23"/>
                <c:pt idx="0">
                  <c:v>5.0000000000000001E-3</c:v>
                </c:pt>
                <c:pt idx="1">
                  <c:v>7.4999999999999997E-3</c:v>
                </c:pt>
                <c:pt idx="2">
                  <c:v>0.01</c:v>
                </c:pt>
                <c:pt idx="3">
                  <c:v>1.2500000000000001E-2</c:v>
                </c:pt>
                <c:pt idx="4">
                  <c:v>1.4999999999999999E-2</c:v>
                </c:pt>
                <c:pt idx="5">
                  <c:v>1.7499999999999998E-2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C-4D83-B3D5-11FE1DFCAD7B}"/>
            </c:ext>
          </c:extLst>
        </c:ser>
        <c:ser>
          <c:idx val="2"/>
          <c:order val="2"/>
          <c:tx>
            <c:strRef>
              <c:f>Sheet1!$E$30:$E$31</c:f>
              <c:strCache>
                <c:ptCount val="2"/>
                <c:pt idx="0">
                  <c:v>FPS Limit</c:v>
                </c:pt>
                <c:pt idx="1">
                  <c:v>30.00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Sheet1!$A$32:$B$54</c:f>
              <c:multiLvlStrCache>
                <c:ptCount val="23"/>
                <c:lvl>
                  <c:pt idx="0">
                    <c:v>5</c:v>
                  </c:pt>
                  <c:pt idx="1">
                    <c:v>7.5</c:v>
                  </c:pt>
                  <c:pt idx="2">
                    <c:v>10</c:v>
                  </c:pt>
                  <c:pt idx="3">
                    <c:v>12.5</c:v>
                  </c:pt>
                  <c:pt idx="4">
                    <c:v>15</c:v>
                  </c:pt>
                  <c:pt idx="5">
                    <c:v>17.5</c:v>
                  </c:pt>
                  <c:pt idx="6">
                    <c:v>20</c:v>
                  </c:pt>
                  <c:pt idx="7">
                    <c:v>22.5</c:v>
                  </c:pt>
                  <c:pt idx="8">
                    <c:v>25</c:v>
                  </c:pt>
                  <c:pt idx="9">
                    <c:v>27.5</c:v>
                  </c:pt>
                  <c:pt idx="10">
                    <c:v>30</c:v>
                  </c:pt>
                  <c:pt idx="11">
                    <c:v>32.5</c:v>
                  </c:pt>
                  <c:pt idx="12">
                    <c:v>35</c:v>
                  </c:pt>
                  <c:pt idx="13">
                    <c:v>37.5</c:v>
                  </c:pt>
                  <c:pt idx="14">
                    <c:v>40</c:v>
                  </c:pt>
                  <c:pt idx="15">
                    <c:v>42.5</c:v>
                  </c:pt>
                  <c:pt idx="16">
                    <c:v>45</c:v>
                  </c:pt>
                  <c:pt idx="17">
                    <c:v>47.5</c:v>
                  </c:pt>
                  <c:pt idx="18">
                    <c:v>50</c:v>
                  </c:pt>
                  <c:pt idx="19">
                    <c:v>52.5</c:v>
                  </c:pt>
                  <c:pt idx="20">
                    <c:v>55</c:v>
                  </c:pt>
                  <c:pt idx="21">
                    <c:v>57.5</c:v>
                  </c:pt>
                  <c:pt idx="22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Sheet1!$E$32:$E$54</c:f>
              <c:numCache>
                <c:formatCode>0%</c:formatCode>
                <c:ptCount val="23"/>
                <c:pt idx="0">
                  <c:v>6.2500000000000003E-3</c:v>
                </c:pt>
                <c:pt idx="1">
                  <c:v>9.3749999999999997E-3</c:v>
                </c:pt>
                <c:pt idx="2">
                  <c:v>1.2500000000000001E-2</c:v>
                </c:pt>
                <c:pt idx="3">
                  <c:v>1.5625E-2</c:v>
                </c:pt>
                <c:pt idx="4">
                  <c:v>1.8749999999999999E-2</c:v>
                </c:pt>
                <c:pt idx="5">
                  <c:v>2.1874999999999999E-2</c:v>
                </c:pt>
                <c:pt idx="6">
                  <c:v>2.5000000000000001E-2</c:v>
                </c:pt>
                <c:pt idx="7">
                  <c:v>2.8125000000000001E-2</c:v>
                </c:pt>
                <c:pt idx="8">
                  <c:v>3.125E-2</c:v>
                </c:pt>
                <c:pt idx="9">
                  <c:v>3.4374999999999996E-2</c:v>
                </c:pt>
                <c:pt idx="10">
                  <c:v>3.7499999999999999E-2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CC-4D83-B3D5-11FE1DFCAD7B}"/>
            </c:ext>
          </c:extLst>
        </c:ser>
        <c:ser>
          <c:idx val="3"/>
          <c:order val="3"/>
          <c:tx>
            <c:strRef>
              <c:f>Sheet1!$F$30:$F$31</c:f>
              <c:strCache>
                <c:ptCount val="2"/>
                <c:pt idx="0">
                  <c:v>FPS Limit</c:v>
                </c:pt>
                <c:pt idx="1">
                  <c:v>40.00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Sheet1!$A$32:$B$54</c:f>
              <c:multiLvlStrCache>
                <c:ptCount val="23"/>
                <c:lvl>
                  <c:pt idx="0">
                    <c:v>5</c:v>
                  </c:pt>
                  <c:pt idx="1">
                    <c:v>7.5</c:v>
                  </c:pt>
                  <c:pt idx="2">
                    <c:v>10</c:v>
                  </c:pt>
                  <c:pt idx="3">
                    <c:v>12.5</c:v>
                  </c:pt>
                  <c:pt idx="4">
                    <c:v>15</c:v>
                  </c:pt>
                  <c:pt idx="5">
                    <c:v>17.5</c:v>
                  </c:pt>
                  <c:pt idx="6">
                    <c:v>20</c:v>
                  </c:pt>
                  <c:pt idx="7">
                    <c:v>22.5</c:v>
                  </c:pt>
                  <c:pt idx="8">
                    <c:v>25</c:v>
                  </c:pt>
                  <c:pt idx="9">
                    <c:v>27.5</c:v>
                  </c:pt>
                  <c:pt idx="10">
                    <c:v>30</c:v>
                  </c:pt>
                  <c:pt idx="11">
                    <c:v>32.5</c:v>
                  </c:pt>
                  <c:pt idx="12">
                    <c:v>35</c:v>
                  </c:pt>
                  <c:pt idx="13">
                    <c:v>37.5</c:v>
                  </c:pt>
                  <c:pt idx="14">
                    <c:v>40</c:v>
                  </c:pt>
                  <c:pt idx="15">
                    <c:v>42.5</c:v>
                  </c:pt>
                  <c:pt idx="16">
                    <c:v>45</c:v>
                  </c:pt>
                  <c:pt idx="17">
                    <c:v>47.5</c:v>
                  </c:pt>
                  <c:pt idx="18">
                    <c:v>50</c:v>
                  </c:pt>
                  <c:pt idx="19">
                    <c:v>52.5</c:v>
                  </c:pt>
                  <c:pt idx="20">
                    <c:v>55</c:v>
                  </c:pt>
                  <c:pt idx="21">
                    <c:v>57.5</c:v>
                  </c:pt>
                  <c:pt idx="22">
                    <c:v>60</c:v>
                  </c:pt>
                </c:lvl>
                <c:lvl>
                  <c:pt idx="0">
                    <c:v>FPS</c:v>
                  </c:pt>
                </c:lvl>
              </c:multiLvlStrCache>
            </c:multiLvlStrRef>
          </c:cat>
          <c:val>
            <c:numRef>
              <c:f>Sheet1!$F$32:$F$54</c:f>
              <c:numCache>
                <c:formatCode>0%</c:formatCode>
                <c:ptCount val="23"/>
                <c:pt idx="0">
                  <c:v>7.4999999999999997E-3</c:v>
                </c:pt>
                <c:pt idx="1">
                  <c:v>1.125E-2</c:v>
                </c:pt>
                <c:pt idx="2">
                  <c:v>1.4999999999999999E-2</c:v>
                </c:pt>
                <c:pt idx="3">
                  <c:v>1.8749999999999999E-2</c:v>
                </c:pt>
                <c:pt idx="4">
                  <c:v>2.2499999999999999E-2</c:v>
                </c:pt>
                <c:pt idx="5">
                  <c:v>2.6249999999999999E-2</c:v>
                </c:pt>
                <c:pt idx="6">
                  <c:v>0.03</c:v>
                </c:pt>
                <c:pt idx="7">
                  <c:v>3.3750000000000002E-2</c:v>
                </c:pt>
                <c:pt idx="8">
                  <c:v>3.7499999999999999E-2</c:v>
                </c:pt>
                <c:pt idx="9">
                  <c:v>4.1249999999999995E-2</c:v>
                </c:pt>
                <c:pt idx="10">
                  <c:v>4.4999999999999998E-2</c:v>
                </c:pt>
                <c:pt idx="11">
                  <c:v>4.8750000000000002E-2</c:v>
                </c:pt>
                <c:pt idx="12">
                  <c:v>5.2499999999999998E-2</c:v>
                </c:pt>
                <c:pt idx="13">
                  <c:v>5.6249999999999994E-2</c:v>
                </c:pt>
                <c:pt idx="14">
                  <c:v>0.06</c:v>
                </c:pt>
                <c:pt idx="15">
                  <c:v>1.2500000000000709E-3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CC-4D83-B3D5-11FE1DFCA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794288"/>
        <c:axId val="1117795728"/>
      </c:barChart>
      <c:catAx>
        <c:axId val="11177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95728"/>
        <c:crosses val="autoZero"/>
        <c:auto val="1"/>
        <c:lblAlgn val="ctr"/>
        <c:lblOffset val="100"/>
        <c:noMultiLvlLbl val="0"/>
      </c:catAx>
      <c:valAx>
        <c:axId val="11177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% 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5</xdr:row>
      <xdr:rowOff>26670</xdr:rowOff>
    </xdr:from>
    <xdr:to>
      <xdr:col>19</xdr:col>
      <xdr:colOff>182880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0B1CE-154D-6D7D-27DB-DC84F17CC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579120</xdr:colOff>
      <xdr:row>25</xdr:row>
      <xdr:rowOff>171450</xdr:rowOff>
    </xdr:from>
    <xdr:to>
      <xdr:col>21</xdr:col>
      <xdr:colOff>200025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CE8CBD-6763-E1B3-1B8C-7888F01EE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3EDB-2C29-4B59-8C9D-D1EE18CCB6E2}">
  <dimension ref="A7:L73"/>
  <sheetViews>
    <sheetView tabSelected="1" topLeftCell="A16" workbookViewId="0">
      <selection activeCell="Y41" sqref="Y41"/>
    </sheetView>
  </sheetViews>
  <sheetFormatPr defaultRowHeight="15" x14ac:dyDescent="0.25"/>
  <sheetData>
    <row r="7" spans="1:6" x14ac:dyDescent="0.25">
      <c r="C7" s="3" t="s">
        <v>0</v>
      </c>
      <c r="D7" s="3"/>
      <c r="E7" s="3"/>
      <c r="F7" s="3"/>
    </row>
    <row r="8" spans="1:6" x14ac:dyDescent="0.25">
      <c r="C8" s="1">
        <v>0.25</v>
      </c>
      <c r="D8" s="1">
        <v>0.5</v>
      </c>
      <c r="E8" s="1">
        <v>0.75</v>
      </c>
      <c r="F8" s="1">
        <v>1</v>
      </c>
    </row>
    <row r="9" spans="1:6" x14ac:dyDescent="0.25">
      <c r="A9" s="3" t="s">
        <v>1</v>
      </c>
      <c r="B9">
        <v>5</v>
      </c>
      <c r="C9" s="1">
        <f>(0.5+1*C$8)/(1000/$B9)</f>
        <v>3.7499999999999999E-3</v>
      </c>
      <c r="D9" s="1">
        <f t="shared" ref="D9:F9" si="0">(0.5+1*D$8)/(1000/$B9)</f>
        <v>5.0000000000000001E-3</v>
      </c>
      <c r="E9" s="1">
        <f t="shared" si="0"/>
        <v>6.2500000000000003E-3</v>
      </c>
      <c r="F9" s="1">
        <f t="shared" si="0"/>
        <v>7.4999999999999997E-3</v>
      </c>
    </row>
    <row r="10" spans="1:6" x14ac:dyDescent="0.25">
      <c r="A10" s="3"/>
      <c r="B10">
        <v>10</v>
      </c>
      <c r="C10" s="1">
        <f t="shared" ref="C10:F20" si="1">(0.5+1*C$8)/(1000/$B10)</f>
        <v>7.4999999999999997E-3</v>
      </c>
      <c r="D10" s="1">
        <f t="shared" si="1"/>
        <v>0.01</v>
      </c>
      <c r="E10" s="1">
        <f t="shared" si="1"/>
        <v>1.2500000000000001E-2</v>
      </c>
      <c r="F10" s="1">
        <f t="shared" si="1"/>
        <v>1.4999999999999999E-2</v>
      </c>
    </row>
    <row r="11" spans="1:6" x14ac:dyDescent="0.25">
      <c r="A11" s="3"/>
      <c r="B11">
        <v>15</v>
      </c>
      <c r="C11" s="1">
        <f t="shared" si="1"/>
        <v>1.125E-2</v>
      </c>
      <c r="D11" s="1">
        <f t="shared" si="1"/>
        <v>1.4999999999999999E-2</v>
      </c>
      <c r="E11" s="1">
        <f t="shared" si="1"/>
        <v>1.8749999999999999E-2</v>
      </c>
      <c r="F11" s="1">
        <f t="shared" si="1"/>
        <v>2.2499999999999999E-2</v>
      </c>
    </row>
    <row r="12" spans="1:6" x14ac:dyDescent="0.25">
      <c r="A12" s="3"/>
      <c r="B12">
        <v>20</v>
      </c>
      <c r="C12" s="1">
        <f t="shared" si="1"/>
        <v>1.4999999999999999E-2</v>
      </c>
      <c r="D12" s="1">
        <f t="shared" si="1"/>
        <v>0.02</v>
      </c>
      <c r="E12" s="1">
        <f t="shared" si="1"/>
        <v>2.5000000000000001E-2</v>
      </c>
      <c r="F12" s="1">
        <f t="shared" si="1"/>
        <v>0.03</v>
      </c>
    </row>
    <row r="13" spans="1:6" x14ac:dyDescent="0.25">
      <c r="A13" s="3"/>
      <c r="B13">
        <v>25</v>
      </c>
      <c r="C13" s="1">
        <f t="shared" si="1"/>
        <v>1.8749999999999999E-2</v>
      </c>
      <c r="D13" s="1">
        <f t="shared" si="1"/>
        <v>2.5000000000000001E-2</v>
      </c>
      <c r="E13" s="1">
        <f t="shared" si="1"/>
        <v>3.125E-2</v>
      </c>
      <c r="F13" s="1">
        <f t="shared" si="1"/>
        <v>3.7499999999999999E-2</v>
      </c>
    </row>
    <row r="14" spans="1:6" x14ac:dyDescent="0.25">
      <c r="A14" s="3"/>
      <c r="B14">
        <v>30</v>
      </c>
      <c r="C14" s="1">
        <f t="shared" si="1"/>
        <v>2.2499999999999999E-2</v>
      </c>
      <c r="D14" s="1">
        <f t="shared" si="1"/>
        <v>0.03</v>
      </c>
      <c r="E14" s="1">
        <f t="shared" si="1"/>
        <v>3.7499999999999999E-2</v>
      </c>
      <c r="F14" s="1">
        <f t="shared" si="1"/>
        <v>4.4999999999999998E-2</v>
      </c>
    </row>
    <row r="15" spans="1:6" x14ac:dyDescent="0.25">
      <c r="A15" s="3"/>
      <c r="B15">
        <v>35</v>
      </c>
      <c r="C15" s="1">
        <f t="shared" si="1"/>
        <v>2.6249999999999999E-2</v>
      </c>
      <c r="D15" s="1">
        <f t="shared" si="1"/>
        <v>3.4999999999999996E-2</v>
      </c>
      <c r="E15" s="1">
        <f t="shared" si="1"/>
        <v>4.3749999999999997E-2</v>
      </c>
      <c r="F15" s="1">
        <f t="shared" si="1"/>
        <v>5.2499999999999998E-2</v>
      </c>
    </row>
    <row r="16" spans="1:6" x14ac:dyDescent="0.25">
      <c r="A16" s="3"/>
      <c r="B16">
        <v>40</v>
      </c>
      <c r="C16" s="1">
        <f t="shared" si="1"/>
        <v>0.03</v>
      </c>
      <c r="D16" s="1">
        <f t="shared" si="1"/>
        <v>0.04</v>
      </c>
      <c r="E16" s="1">
        <f t="shared" si="1"/>
        <v>0.05</v>
      </c>
      <c r="F16" s="1">
        <f t="shared" si="1"/>
        <v>0.06</v>
      </c>
    </row>
    <row r="17" spans="1:12" x14ac:dyDescent="0.25">
      <c r="A17" s="3"/>
      <c r="B17">
        <v>45</v>
      </c>
      <c r="C17" s="1">
        <f t="shared" si="1"/>
        <v>3.3750000000000002E-2</v>
      </c>
      <c r="D17" s="1">
        <f t="shared" si="1"/>
        <v>4.4999999999999998E-2</v>
      </c>
      <c r="E17" s="1">
        <f t="shared" si="1"/>
        <v>5.6250000000000001E-2</v>
      </c>
      <c r="F17" s="1">
        <f t="shared" si="1"/>
        <v>6.7500000000000004E-2</v>
      </c>
    </row>
    <row r="18" spans="1:12" x14ac:dyDescent="0.25">
      <c r="A18" s="3"/>
      <c r="B18">
        <v>50</v>
      </c>
      <c r="C18" s="1">
        <f t="shared" si="1"/>
        <v>3.7499999999999999E-2</v>
      </c>
      <c r="D18" s="1">
        <f t="shared" si="1"/>
        <v>0.05</v>
      </c>
      <c r="E18" s="1">
        <f t="shared" si="1"/>
        <v>6.25E-2</v>
      </c>
      <c r="F18" s="1">
        <f t="shared" si="1"/>
        <v>7.4999999999999997E-2</v>
      </c>
    </row>
    <row r="19" spans="1:12" x14ac:dyDescent="0.25">
      <c r="A19" s="3"/>
      <c r="B19">
        <v>55</v>
      </c>
      <c r="C19" s="1">
        <f t="shared" si="1"/>
        <v>4.1249999999999995E-2</v>
      </c>
      <c r="D19" s="1">
        <f t="shared" si="1"/>
        <v>5.4999999999999993E-2</v>
      </c>
      <c r="E19" s="1">
        <f t="shared" si="1"/>
        <v>6.8749999999999992E-2</v>
      </c>
      <c r="F19" s="1">
        <f t="shared" si="1"/>
        <v>8.249999999999999E-2</v>
      </c>
    </row>
    <row r="20" spans="1:12" x14ac:dyDescent="0.25">
      <c r="A20" s="3"/>
      <c r="B20">
        <v>60</v>
      </c>
      <c r="C20" s="1">
        <f t="shared" si="1"/>
        <v>4.4999999999999998E-2</v>
      </c>
      <c r="D20" s="1">
        <f t="shared" si="1"/>
        <v>0.06</v>
      </c>
      <c r="E20" s="1">
        <f t="shared" si="1"/>
        <v>7.4999999999999997E-2</v>
      </c>
      <c r="F20" s="1">
        <f t="shared" si="1"/>
        <v>0.09</v>
      </c>
    </row>
    <row r="30" spans="1:12" x14ac:dyDescent="0.25">
      <c r="C30" s="3" t="s">
        <v>5</v>
      </c>
      <c r="D30" s="3"/>
      <c r="E30" s="3"/>
      <c r="F30" s="3"/>
    </row>
    <row r="31" spans="1:12" x14ac:dyDescent="0.25">
      <c r="C31" s="2">
        <v>10</v>
      </c>
      <c r="D31" s="2">
        <v>20</v>
      </c>
      <c r="E31" s="2">
        <v>30</v>
      </c>
      <c r="F31" s="2">
        <v>40</v>
      </c>
      <c r="H31">
        <f>MAX(0,(0.5+1*C$8)-(1000/C$31)-(1000/$B32))</f>
        <v>0</v>
      </c>
      <c r="L31" t="s">
        <v>2</v>
      </c>
    </row>
    <row r="32" spans="1:12" x14ac:dyDescent="0.25">
      <c r="A32" s="3" t="s">
        <v>1</v>
      </c>
      <c r="B32">
        <v>5</v>
      </c>
      <c r="C32" s="1">
        <f>MAX(0,(0.5+1*C$8)-MAX(0,(1000/C$31)-(1000/$B32)))/(1000/$B32)</f>
        <v>3.7499999999999999E-3</v>
      </c>
      <c r="D32" s="1">
        <f t="shared" ref="D32:F32" si="2">MAX(0,(0.5+1*D$8)-MAX(0,(1000/D$31)-(1000/$B32)))/(1000/$B32)</f>
        <v>5.0000000000000001E-3</v>
      </c>
      <c r="E32" s="1">
        <f t="shared" si="2"/>
        <v>6.2500000000000003E-3</v>
      </c>
      <c r="F32" s="1">
        <f t="shared" si="2"/>
        <v>7.4999999999999997E-3</v>
      </c>
      <c r="L32" t="s">
        <v>3</v>
      </c>
    </row>
    <row r="33" spans="1:12" x14ac:dyDescent="0.25">
      <c r="A33" s="3"/>
      <c r="B33">
        <v>7.5</v>
      </c>
      <c r="C33" s="1">
        <f t="shared" ref="C33:F48" si="3">MAX(0,(0.5+1*C$8)-MAX(0,(1000/C$31)-(1000/$B33)))/(1000/$B33)</f>
        <v>5.6249999999999998E-3</v>
      </c>
      <c r="D33" s="1">
        <f t="shared" si="3"/>
        <v>7.4999999999999997E-3</v>
      </c>
      <c r="E33" s="1">
        <f t="shared" si="3"/>
        <v>9.3749999999999997E-3</v>
      </c>
      <c r="F33" s="1">
        <f t="shared" si="3"/>
        <v>1.125E-2</v>
      </c>
      <c r="L33" t="s">
        <v>4</v>
      </c>
    </row>
    <row r="34" spans="1:12" x14ac:dyDescent="0.25">
      <c r="A34" s="3"/>
      <c r="B34">
        <v>10</v>
      </c>
      <c r="C34" s="1">
        <f t="shared" si="3"/>
        <v>7.4999999999999997E-3</v>
      </c>
      <c r="D34" s="1">
        <f t="shared" si="3"/>
        <v>0.01</v>
      </c>
      <c r="E34" s="1">
        <f t="shared" si="3"/>
        <v>1.2500000000000001E-2</v>
      </c>
      <c r="F34" s="1">
        <f t="shared" si="3"/>
        <v>1.4999999999999999E-2</v>
      </c>
    </row>
    <row r="35" spans="1:12" x14ac:dyDescent="0.25">
      <c r="A35" s="3"/>
      <c r="B35">
        <v>12.5</v>
      </c>
      <c r="C35" s="1">
        <f t="shared" si="3"/>
        <v>0</v>
      </c>
      <c r="D35" s="1">
        <f t="shared" si="3"/>
        <v>1.2500000000000001E-2</v>
      </c>
      <c r="E35" s="1">
        <f t="shared" si="3"/>
        <v>1.5625E-2</v>
      </c>
      <c r="F35" s="1">
        <f t="shared" si="3"/>
        <v>1.8749999999999999E-2</v>
      </c>
    </row>
    <row r="36" spans="1:12" x14ac:dyDescent="0.25">
      <c r="A36" s="3"/>
      <c r="B36">
        <v>15</v>
      </c>
      <c r="C36" s="1">
        <f t="shared" si="3"/>
        <v>0</v>
      </c>
      <c r="D36" s="1">
        <f t="shared" si="3"/>
        <v>1.4999999999999999E-2</v>
      </c>
      <c r="E36" s="1">
        <f t="shared" si="3"/>
        <v>1.8749999999999999E-2</v>
      </c>
      <c r="F36" s="1">
        <f t="shared" si="3"/>
        <v>2.2499999999999999E-2</v>
      </c>
    </row>
    <row r="37" spans="1:12" x14ac:dyDescent="0.25">
      <c r="A37" s="3"/>
      <c r="B37">
        <v>17.5</v>
      </c>
      <c r="C37" s="1">
        <f t="shared" si="3"/>
        <v>0</v>
      </c>
      <c r="D37" s="1">
        <f t="shared" si="3"/>
        <v>1.7499999999999998E-2</v>
      </c>
      <c r="E37" s="1">
        <f t="shared" si="3"/>
        <v>2.1874999999999999E-2</v>
      </c>
      <c r="F37" s="1">
        <f t="shared" si="3"/>
        <v>2.6249999999999999E-2</v>
      </c>
    </row>
    <row r="38" spans="1:12" x14ac:dyDescent="0.25">
      <c r="A38" s="3"/>
      <c r="B38">
        <v>20</v>
      </c>
      <c r="C38" s="1">
        <f t="shared" si="3"/>
        <v>0</v>
      </c>
      <c r="D38" s="1">
        <f t="shared" si="3"/>
        <v>0.02</v>
      </c>
      <c r="E38" s="1">
        <f t="shared" si="3"/>
        <v>2.5000000000000001E-2</v>
      </c>
      <c r="F38" s="1">
        <f t="shared" si="3"/>
        <v>0.03</v>
      </c>
    </row>
    <row r="39" spans="1:12" x14ac:dyDescent="0.25">
      <c r="A39" s="3"/>
      <c r="B39">
        <v>22.5</v>
      </c>
      <c r="C39" s="1">
        <f t="shared" si="3"/>
        <v>0</v>
      </c>
      <c r="D39" s="1">
        <f t="shared" si="3"/>
        <v>0</v>
      </c>
      <c r="E39" s="1">
        <f t="shared" si="3"/>
        <v>2.8125000000000001E-2</v>
      </c>
      <c r="F39" s="1">
        <f t="shared" si="3"/>
        <v>3.3750000000000002E-2</v>
      </c>
    </row>
    <row r="40" spans="1:12" x14ac:dyDescent="0.25">
      <c r="A40" s="3"/>
      <c r="B40">
        <v>25</v>
      </c>
      <c r="C40" s="1">
        <f t="shared" si="3"/>
        <v>0</v>
      </c>
      <c r="D40" s="1">
        <f t="shared" si="3"/>
        <v>0</v>
      </c>
      <c r="E40" s="1">
        <f t="shared" si="3"/>
        <v>3.125E-2</v>
      </c>
      <c r="F40" s="1">
        <f t="shared" si="3"/>
        <v>3.7499999999999999E-2</v>
      </c>
    </row>
    <row r="41" spans="1:12" x14ac:dyDescent="0.25">
      <c r="A41" s="3"/>
      <c r="B41">
        <v>27.5</v>
      </c>
      <c r="C41" s="1">
        <f t="shared" si="3"/>
        <v>0</v>
      </c>
      <c r="D41" s="1">
        <f t="shared" si="3"/>
        <v>0</v>
      </c>
      <c r="E41" s="1">
        <f t="shared" si="3"/>
        <v>3.4374999999999996E-2</v>
      </c>
      <c r="F41" s="1">
        <f t="shared" si="3"/>
        <v>4.1249999999999995E-2</v>
      </c>
    </row>
    <row r="42" spans="1:12" x14ac:dyDescent="0.25">
      <c r="A42" s="3"/>
      <c r="B42">
        <v>30</v>
      </c>
      <c r="C42" s="1">
        <f t="shared" si="3"/>
        <v>0</v>
      </c>
      <c r="D42" s="1">
        <f t="shared" si="3"/>
        <v>0</v>
      </c>
      <c r="E42" s="1">
        <f t="shared" si="3"/>
        <v>3.7499999999999999E-2</v>
      </c>
      <c r="F42" s="1">
        <f t="shared" si="3"/>
        <v>4.4999999999999998E-2</v>
      </c>
    </row>
    <row r="43" spans="1:12" x14ac:dyDescent="0.25">
      <c r="A43" s="3"/>
      <c r="B43">
        <v>32.5</v>
      </c>
      <c r="C43" s="1">
        <f t="shared" si="3"/>
        <v>0</v>
      </c>
      <c r="D43" s="1">
        <f t="shared" si="3"/>
        <v>0</v>
      </c>
      <c r="E43" s="1">
        <f t="shared" si="3"/>
        <v>0</v>
      </c>
      <c r="F43" s="1">
        <f t="shared" si="3"/>
        <v>4.8750000000000002E-2</v>
      </c>
    </row>
    <row r="44" spans="1:12" x14ac:dyDescent="0.25">
      <c r="A44" s="3"/>
      <c r="B44">
        <v>35</v>
      </c>
      <c r="C44" s="1">
        <f t="shared" si="3"/>
        <v>0</v>
      </c>
      <c r="D44" s="1">
        <f t="shared" si="3"/>
        <v>0</v>
      </c>
      <c r="E44" s="1">
        <f t="shared" si="3"/>
        <v>0</v>
      </c>
      <c r="F44" s="1">
        <f t="shared" si="3"/>
        <v>5.2499999999999998E-2</v>
      </c>
    </row>
    <row r="45" spans="1:12" x14ac:dyDescent="0.25">
      <c r="A45" s="3"/>
      <c r="B45">
        <v>37.5</v>
      </c>
      <c r="C45" s="1">
        <f t="shared" si="3"/>
        <v>0</v>
      </c>
      <c r="D45" s="1">
        <f t="shared" si="3"/>
        <v>0</v>
      </c>
      <c r="E45" s="1">
        <f t="shared" si="3"/>
        <v>0</v>
      </c>
      <c r="F45" s="1">
        <f t="shared" si="3"/>
        <v>5.6249999999999994E-2</v>
      </c>
    </row>
    <row r="46" spans="1:12" x14ac:dyDescent="0.25">
      <c r="A46" s="3"/>
      <c r="B46">
        <v>40</v>
      </c>
      <c r="C46" s="1">
        <f t="shared" si="3"/>
        <v>0</v>
      </c>
      <c r="D46" s="1">
        <f t="shared" si="3"/>
        <v>0</v>
      </c>
      <c r="E46" s="1">
        <f t="shared" si="3"/>
        <v>0</v>
      </c>
      <c r="F46" s="1">
        <f t="shared" si="3"/>
        <v>0.06</v>
      </c>
    </row>
    <row r="47" spans="1:12" x14ac:dyDescent="0.25">
      <c r="A47" s="3"/>
      <c r="B47">
        <v>42.5</v>
      </c>
      <c r="C47" s="1">
        <f t="shared" si="3"/>
        <v>0</v>
      </c>
      <c r="D47" s="1">
        <f t="shared" si="3"/>
        <v>0</v>
      </c>
      <c r="E47" s="1">
        <f t="shared" si="3"/>
        <v>0</v>
      </c>
      <c r="F47" s="1">
        <f t="shared" si="3"/>
        <v>1.2500000000000709E-3</v>
      </c>
    </row>
    <row r="48" spans="1:12" x14ac:dyDescent="0.25">
      <c r="A48" s="3"/>
      <c r="B48">
        <v>45</v>
      </c>
      <c r="C48" s="1">
        <f t="shared" si="3"/>
        <v>0</v>
      </c>
      <c r="D48" s="1">
        <f t="shared" si="3"/>
        <v>0</v>
      </c>
      <c r="E48" s="1">
        <f t="shared" si="3"/>
        <v>0</v>
      </c>
      <c r="F48" s="1">
        <f t="shared" si="3"/>
        <v>0</v>
      </c>
    </row>
    <row r="49" spans="1:6" x14ac:dyDescent="0.25">
      <c r="A49" s="3"/>
      <c r="B49">
        <v>47.5</v>
      </c>
      <c r="C49" s="1">
        <f t="shared" ref="C49:F73" si="4">MAX(0,(0.5+1*C$8)-MAX(0,(1000/C$31)-(1000/$B49)))/(1000/$B49)</f>
        <v>0</v>
      </c>
      <c r="D49" s="1">
        <f t="shared" si="4"/>
        <v>0</v>
      </c>
      <c r="E49" s="1">
        <f t="shared" si="4"/>
        <v>0</v>
      </c>
      <c r="F49" s="1">
        <f t="shared" si="4"/>
        <v>0</v>
      </c>
    </row>
    <row r="50" spans="1:6" x14ac:dyDescent="0.25">
      <c r="A50" s="3"/>
      <c r="B50">
        <v>50</v>
      </c>
      <c r="C50" s="1">
        <f t="shared" si="4"/>
        <v>0</v>
      </c>
      <c r="D50" s="1">
        <f t="shared" si="4"/>
        <v>0</v>
      </c>
      <c r="E50" s="1">
        <f t="shared" si="4"/>
        <v>0</v>
      </c>
      <c r="F50" s="1">
        <f t="shared" si="4"/>
        <v>0</v>
      </c>
    </row>
    <row r="51" spans="1:6" x14ac:dyDescent="0.25">
      <c r="A51" s="3"/>
      <c r="B51">
        <v>52.5</v>
      </c>
      <c r="C51" s="1">
        <f t="shared" si="4"/>
        <v>0</v>
      </c>
      <c r="D51" s="1">
        <f t="shared" si="4"/>
        <v>0</v>
      </c>
      <c r="E51" s="1">
        <f t="shared" si="4"/>
        <v>0</v>
      </c>
      <c r="F51" s="1">
        <f t="shared" si="4"/>
        <v>0</v>
      </c>
    </row>
    <row r="52" spans="1:6" x14ac:dyDescent="0.25">
      <c r="A52" s="3"/>
      <c r="B52">
        <v>55</v>
      </c>
      <c r="C52" s="1">
        <f t="shared" si="4"/>
        <v>0</v>
      </c>
      <c r="D52" s="1">
        <f t="shared" si="4"/>
        <v>0</v>
      </c>
      <c r="E52" s="1">
        <f t="shared" si="4"/>
        <v>0</v>
      </c>
      <c r="F52" s="1">
        <f t="shared" si="4"/>
        <v>0</v>
      </c>
    </row>
    <row r="53" spans="1:6" x14ac:dyDescent="0.25">
      <c r="A53" s="3"/>
      <c r="B53">
        <v>57.5</v>
      </c>
      <c r="C53" s="1">
        <f t="shared" si="4"/>
        <v>0</v>
      </c>
      <c r="D53" s="1">
        <f t="shared" si="4"/>
        <v>0</v>
      </c>
      <c r="E53" s="1">
        <f t="shared" si="4"/>
        <v>0</v>
      </c>
      <c r="F53" s="1">
        <f t="shared" si="4"/>
        <v>0</v>
      </c>
    </row>
    <row r="54" spans="1:6" x14ac:dyDescent="0.25">
      <c r="A54" s="3"/>
      <c r="B54">
        <v>60</v>
      </c>
      <c r="C54" s="1">
        <f t="shared" si="4"/>
        <v>0</v>
      </c>
      <c r="D54" s="1">
        <f t="shared" si="4"/>
        <v>0</v>
      </c>
      <c r="E54" s="1">
        <f t="shared" si="4"/>
        <v>0</v>
      </c>
      <c r="F54" s="1">
        <f t="shared" si="4"/>
        <v>0</v>
      </c>
    </row>
    <row r="55" spans="1:6" x14ac:dyDescent="0.25">
      <c r="B55">
        <v>62.5</v>
      </c>
      <c r="C55" s="1">
        <f t="shared" si="4"/>
        <v>0</v>
      </c>
      <c r="D55" s="1">
        <f t="shared" si="4"/>
        <v>0</v>
      </c>
      <c r="E55" s="1">
        <f t="shared" si="4"/>
        <v>0</v>
      </c>
      <c r="F55" s="1">
        <f t="shared" si="4"/>
        <v>0</v>
      </c>
    </row>
    <row r="56" spans="1:6" x14ac:dyDescent="0.25">
      <c r="B56">
        <v>65</v>
      </c>
      <c r="C56" s="1">
        <f t="shared" si="4"/>
        <v>0</v>
      </c>
      <c r="D56" s="1">
        <f t="shared" si="4"/>
        <v>0</v>
      </c>
      <c r="E56" s="1">
        <f t="shared" si="4"/>
        <v>0</v>
      </c>
      <c r="F56" s="1">
        <f t="shared" si="4"/>
        <v>0</v>
      </c>
    </row>
    <row r="57" spans="1:6" x14ac:dyDescent="0.25">
      <c r="B57">
        <v>67.5</v>
      </c>
      <c r="C57" s="1">
        <f t="shared" si="4"/>
        <v>0</v>
      </c>
      <c r="D57" s="1">
        <f t="shared" si="4"/>
        <v>0</v>
      </c>
      <c r="E57" s="1">
        <f t="shared" si="4"/>
        <v>0</v>
      </c>
      <c r="F57" s="1">
        <f t="shared" si="4"/>
        <v>0</v>
      </c>
    </row>
    <row r="58" spans="1:6" x14ac:dyDescent="0.25">
      <c r="B58">
        <v>70</v>
      </c>
      <c r="C58" s="1">
        <f t="shared" si="4"/>
        <v>0</v>
      </c>
      <c r="D58" s="1">
        <f t="shared" si="4"/>
        <v>0</v>
      </c>
      <c r="E58" s="1">
        <f t="shared" si="4"/>
        <v>0</v>
      </c>
      <c r="F58" s="1">
        <f t="shared" si="4"/>
        <v>0</v>
      </c>
    </row>
    <row r="59" spans="1:6" x14ac:dyDescent="0.25">
      <c r="B59">
        <v>72.5</v>
      </c>
      <c r="C59" s="1">
        <f t="shared" si="4"/>
        <v>0</v>
      </c>
      <c r="D59" s="1">
        <f t="shared" si="4"/>
        <v>0</v>
      </c>
      <c r="E59" s="1">
        <f t="shared" si="4"/>
        <v>0</v>
      </c>
      <c r="F59" s="1">
        <f t="shared" si="4"/>
        <v>0</v>
      </c>
    </row>
    <row r="60" spans="1:6" x14ac:dyDescent="0.25">
      <c r="B60">
        <v>75</v>
      </c>
      <c r="C60" s="1">
        <f t="shared" si="4"/>
        <v>0</v>
      </c>
      <c r="D60" s="1">
        <f t="shared" si="4"/>
        <v>0</v>
      </c>
      <c r="E60" s="1">
        <f t="shared" si="4"/>
        <v>0</v>
      </c>
      <c r="F60" s="1">
        <f t="shared" si="4"/>
        <v>0</v>
      </c>
    </row>
    <row r="61" spans="1:6" x14ac:dyDescent="0.25">
      <c r="B61">
        <v>77.5</v>
      </c>
      <c r="C61" s="1">
        <f t="shared" si="4"/>
        <v>0</v>
      </c>
      <c r="D61" s="1">
        <f t="shared" si="4"/>
        <v>0</v>
      </c>
      <c r="E61" s="1">
        <f t="shared" si="4"/>
        <v>0</v>
      </c>
      <c r="F61" s="1">
        <f t="shared" si="4"/>
        <v>0</v>
      </c>
    </row>
    <row r="62" spans="1:6" x14ac:dyDescent="0.25">
      <c r="B62">
        <v>80</v>
      </c>
      <c r="C62" s="1">
        <f t="shared" si="4"/>
        <v>0</v>
      </c>
      <c r="D62" s="1">
        <f t="shared" si="4"/>
        <v>0</v>
      </c>
      <c r="E62" s="1">
        <f t="shared" si="4"/>
        <v>0</v>
      </c>
      <c r="F62" s="1">
        <f t="shared" si="4"/>
        <v>0</v>
      </c>
    </row>
    <row r="63" spans="1:6" x14ac:dyDescent="0.25">
      <c r="B63">
        <v>82.5</v>
      </c>
      <c r="C63" s="1">
        <f t="shared" si="4"/>
        <v>0</v>
      </c>
      <c r="D63" s="1">
        <f t="shared" si="4"/>
        <v>0</v>
      </c>
      <c r="E63" s="1">
        <f t="shared" si="4"/>
        <v>0</v>
      </c>
      <c r="F63" s="1">
        <f t="shared" si="4"/>
        <v>0</v>
      </c>
    </row>
    <row r="64" spans="1:6" x14ac:dyDescent="0.25">
      <c r="B64">
        <v>85</v>
      </c>
      <c r="C64" s="1">
        <f t="shared" si="4"/>
        <v>0</v>
      </c>
      <c r="D64" s="1">
        <f t="shared" si="4"/>
        <v>0</v>
      </c>
      <c r="E64" s="1">
        <f t="shared" si="4"/>
        <v>0</v>
      </c>
      <c r="F64" s="1">
        <f t="shared" si="4"/>
        <v>0</v>
      </c>
    </row>
    <row r="65" spans="2:6" x14ac:dyDescent="0.25">
      <c r="B65">
        <v>87.5</v>
      </c>
      <c r="C65" s="1">
        <f t="shared" si="4"/>
        <v>0</v>
      </c>
      <c r="D65" s="1">
        <f t="shared" si="4"/>
        <v>0</v>
      </c>
      <c r="E65" s="1">
        <f t="shared" si="4"/>
        <v>0</v>
      </c>
      <c r="F65" s="1">
        <f t="shared" si="4"/>
        <v>0</v>
      </c>
    </row>
    <row r="66" spans="2:6" x14ac:dyDescent="0.25">
      <c r="B66">
        <v>90</v>
      </c>
      <c r="C66" s="1">
        <f t="shared" si="4"/>
        <v>0</v>
      </c>
      <c r="D66" s="1">
        <f t="shared" si="4"/>
        <v>0</v>
      </c>
      <c r="E66" s="1">
        <f t="shared" si="4"/>
        <v>0</v>
      </c>
      <c r="F66" s="1">
        <f t="shared" si="4"/>
        <v>0</v>
      </c>
    </row>
    <row r="67" spans="2:6" x14ac:dyDescent="0.25">
      <c r="B67">
        <v>92.5</v>
      </c>
      <c r="C67" s="1">
        <f t="shared" si="4"/>
        <v>0</v>
      </c>
      <c r="D67" s="1">
        <f t="shared" si="4"/>
        <v>0</v>
      </c>
      <c r="E67" s="1">
        <f t="shared" si="4"/>
        <v>0</v>
      </c>
      <c r="F67" s="1">
        <f t="shared" si="4"/>
        <v>0</v>
      </c>
    </row>
    <row r="68" spans="2:6" x14ac:dyDescent="0.25">
      <c r="B68">
        <v>95</v>
      </c>
      <c r="C68" s="1">
        <f t="shared" si="4"/>
        <v>0</v>
      </c>
      <c r="D68" s="1">
        <f t="shared" si="4"/>
        <v>0</v>
      </c>
      <c r="E68" s="1">
        <f t="shared" si="4"/>
        <v>0</v>
      </c>
      <c r="F68" s="1">
        <f t="shared" si="4"/>
        <v>0</v>
      </c>
    </row>
    <row r="69" spans="2:6" x14ac:dyDescent="0.25">
      <c r="B69">
        <v>97.5</v>
      </c>
      <c r="C69" s="1">
        <f t="shared" si="4"/>
        <v>0</v>
      </c>
      <c r="D69" s="1">
        <f t="shared" si="4"/>
        <v>0</v>
      </c>
      <c r="E69" s="1">
        <f t="shared" si="4"/>
        <v>0</v>
      </c>
      <c r="F69" s="1">
        <f t="shared" si="4"/>
        <v>0</v>
      </c>
    </row>
    <row r="70" spans="2:6" x14ac:dyDescent="0.25">
      <c r="B70">
        <v>100</v>
      </c>
      <c r="C70" s="1">
        <f t="shared" si="4"/>
        <v>0</v>
      </c>
      <c r="D70" s="1">
        <f t="shared" si="4"/>
        <v>0</v>
      </c>
      <c r="E70" s="1">
        <f t="shared" si="4"/>
        <v>0</v>
      </c>
      <c r="F70" s="1">
        <f t="shared" si="4"/>
        <v>0</v>
      </c>
    </row>
    <row r="71" spans="2:6" x14ac:dyDescent="0.25">
      <c r="B71">
        <v>102.5</v>
      </c>
      <c r="C71" s="1">
        <f t="shared" si="4"/>
        <v>0</v>
      </c>
      <c r="D71" s="1">
        <f t="shared" si="4"/>
        <v>0</v>
      </c>
      <c r="E71" s="1">
        <f t="shared" si="4"/>
        <v>0</v>
      </c>
      <c r="F71" s="1">
        <f t="shared" si="4"/>
        <v>0</v>
      </c>
    </row>
    <row r="72" spans="2:6" x14ac:dyDescent="0.25">
      <c r="B72">
        <v>105</v>
      </c>
      <c r="C72" s="1">
        <f t="shared" si="4"/>
        <v>0</v>
      </c>
      <c r="D72" s="1">
        <f t="shared" si="4"/>
        <v>0</v>
      </c>
      <c r="E72" s="1">
        <f t="shared" si="4"/>
        <v>0</v>
      </c>
      <c r="F72" s="1">
        <f t="shared" si="4"/>
        <v>0</v>
      </c>
    </row>
    <row r="73" spans="2:6" x14ac:dyDescent="0.25">
      <c r="B73">
        <v>107.5</v>
      </c>
      <c r="C73" s="1">
        <f t="shared" si="4"/>
        <v>0</v>
      </c>
      <c r="D73" s="1">
        <f t="shared" si="4"/>
        <v>0</v>
      </c>
      <c r="E73" s="1">
        <f t="shared" si="4"/>
        <v>0</v>
      </c>
      <c r="F73" s="1">
        <f t="shared" si="4"/>
        <v>0</v>
      </c>
    </row>
  </sheetData>
  <mergeCells count="4">
    <mergeCell ref="C7:F7"/>
    <mergeCell ref="A9:A20"/>
    <mergeCell ref="C30:F30"/>
    <mergeCell ref="A32:A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 Cabrerizo Martinez de la Puente</cp:lastModifiedBy>
  <dcterms:created xsi:type="dcterms:W3CDTF">2023-07-14T05:01:09Z</dcterms:created>
  <dcterms:modified xsi:type="dcterms:W3CDTF">2023-08-28T02:55:53Z</dcterms:modified>
</cp:coreProperties>
</file>