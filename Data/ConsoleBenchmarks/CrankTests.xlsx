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S\Univeristy\TUDelft\Thesis\"/>
    </mc:Choice>
  </mc:AlternateContent>
  <xr:revisionPtr revIDLastSave="0" documentId="13_ncr:1_{C121F3DD-8D0B-4D93-A89A-0A8E583E9E46}" xr6:coauthVersionLast="47" xr6:coauthVersionMax="47" xr10:uidLastSave="{00000000-0000-0000-0000-000000000000}"/>
  <bookViews>
    <workbookView xWindow="-108" yWindow="-108" windowWidth="41496" windowHeight="16776" activeTab="7" xr2:uid="{21DA0BB5-D9CE-456E-90C5-DE59BCFCF17A}"/>
  </bookViews>
  <sheets>
    <sheet name="All metal" sheetId="1" r:id="rId1"/>
    <sheet name="All metal (2)" sheetId="2" r:id="rId2"/>
    <sheet name="All metal (3)" sheetId="3" r:id="rId3"/>
    <sheet name="All metal (4)" sheetId="4" r:id="rId4"/>
    <sheet name="All metal (5)" sheetId="5" r:id="rId5"/>
    <sheet name="All metal (6)" sheetId="6" r:id="rId6"/>
    <sheet name="NEW" sheetId="8" r:id="rId7"/>
    <sheet name="NEW (2)" sheetId="9" r:id="rId8"/>
    <sheet name="NEW (3)" sheetId="10" r:id="rId9"/>
    <sheet name="NEW (4)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1" l="1"/>
  <c r="O10" i="11" s="1"/>
  <c r="P10" i="11" s="1"/>
  <c r="M10" i="11"/>
  <c r="N9" i="11"/>
  <c r="O9" i="11" s="1"/>
  <c r="P9" i="11" s="1"/>
  <c r="M9" i="11"/>
  <c r="N8" i="11"/>
  <c r="O8" i="11" s="1"/>
  <c r="P8" i="11" s="1"/>
  <c r="M8" i="11"/>
  <c r="N7" i="11"/>
  <c r="M7" i="11"/>
  <c r="O7" i="11" s="1"/>
  <c r="P7" i="11" s="1"/>
  <c r="N6" i="11"/>
  <c r="M6" i="11"/>
  <c r="O6" i="11" s="1"/>
  <c r="P6" i="11" s="1"/>
  <c r="K8" i="10"/>
  <c r="N10" i="10"/>
  <c r="O10" i="10" s="1"/>
  <c r="P10" i="10" s="1"/>
  <c r="M10" i="10"/>
  <c r="N9" i="10"/>
  <c r="O9" i="10" s="1"/>
  <c r="P9" i="10" s="1"/>
  <c r="M9" i="10"/>
  <c r="N8" i="10"/>
  <c r="O8" i="10" s="1"/>
  <c r="P8" i="10" s="1"/>
  <c r="M8" i="10"/>
  <c r="N7" i="10"/>
  <c r="O7" i="10" s="1"/>
  <c r="P7" i="10" s="1"/>
  <c r="M7" i="10"/>
  <c r="N6" i="10"/>
  <c r="M6" i="10"/>
  <c r="O6" i="10" s="1"/>
  <c r="P6" i="10" s="1"/>
  <c r="N10" i="9"/>
  <c r="O10" i="9" s="1"/>
  <c r="P10" i="9" s="1"/>
  <c r="M10" i="9"/>
  <c r="N9" i="9"/>
  <c r="O9" i="9" s="1"/>
  <c r="P9" i="9" s="1"/>
  <c r="M9" i="9"/>
  <c r="O8" i="9"/>
  <c r="P8" i="9" s="1"/>
  <c r="N8" i="9"/>
  <c r="M8" i="9"/>
  <c r="N7" i="9"/>
  <c r="O7" i="9" s="1"/>
  <c r="P7" i="9" s="1"/>
  <c r="M7" i="9"/>
  <c r="N6" i="9"/>
  <c r="O6" i="9" s="1"/>
  <c r="P6" i="9" s="1"/>
  <c r="M6" i="9"/>
  <c r="K9" i="8"/>
  <c r="N10" i="8"/>
  <c r="M10" i="8"/>
  <c r="O10" i="8" s="1"/>
  <c r="P10" i="8" s="1"/>
  <c r="N9" i="8"/>
  <c r="O9" i="8" s="1"/>
  <c r="P9" i="8" s="1"/>
  <c r="M9" i="8"/>
  <c r="N8" i="8"/>
  <c r="O8" i="8" s="1"/>
  <c r="P8" i="8" s="1"/>
  <c r="M8" i="8"/>
  <c r="N7" i="8"/>
  <c r="O7" i="8" s="1"/>
  <c r="P7" i="8" s="1"/>
  <c r="M7" i="8"/>
  <c r="N6" i="8"/>
  <c r="M6" i="8"/>
  <c r="O6" i="8" s="1"/>
  <c r="P6" i="8" s="1"/>
  <c r="K8" i="6"/>
  <c r="O10" i="6"/>
  <c r="P10" i="6" s="1"/>
  <c r="N10" i="6"/>
  <c r="M10" i="6"/>
  <c r="N9" i="6"/>
  <c r="O9" i="6" s="1"/>
  <c r="P9" i="6" s="1"/>
  <c r="M9" i="6"/>
  <c r="O8" i="6"/>
  <c r="P8" i="6" s="1"/>
  <c r="N8" i="6"/>
  <c r="M8" i="6"/>
  <c r="O7" i="6"/>
  <c r="P7" i="6" s="1"/>
  <c r="N7" i="6"/>
  <c r="M7" i="6"/>
  <c r="N6" i="6"/>
  <c r="O6" i="6" s="1"/>
  <c r="P6" i="6" s="1"/>
  <c r="M6" i="6"/>
  <c r="N10" i="5"/>
  <c r="O10" i="5" s="1"/>
  <c r="P10" i="5" s="1"/>
  <c r="M10" i="5"/>
  <c r="N9" i="5"/>
  <c r="M9" i="5"/>
  <c r="O9" i="5" s="1"/>
  <c r="P9" i="5" s="1"/>
  <c r="O8" i="5"/>
  <c r="P8" i="5" s="1"/>
  <c r="N8" i="5"/>
  <c r="M8" i="5"/>
  <c r="O7" i="5"/>
  <c r="P7" i="5" s="1"/>
  <c r="N7" i="5"/>
  <c r="M7" i="5"/>
  <c r="O6" i="5"/>
  <c r="P6" i="5" s="1"/>
  <c r="N6" i="5"/>
  <c r="M6" i="5"/>
  <c r="N10" i="4"/>
  <c r="O10" i="4" s="1"/>
  <c r="P10" i="4" s="1"/>
  <c r="M10" i="4"/>
  <c r="N9" i="4"/>
  <c r="O9" i="4" s="1"/>
  <c r="P9" i="4" s="1"/>
  <c r="M9" i="4"/>
  <c r="N8" i="4"/>
  <c r="O8" i="4" s="1"/>
  <c r="P8" i="4" s="1"/>
  <c r="M8" i="4"/>
  <c r="N7" i="4"/>
  <c r="O7" i="4" s="1"/>
  <c r="P7" i="4" s="1"/>
  <c r="M7" i="4"/>
  <c r="N6" i="4"/>
  <c r="M6" i="4"/>
  <c r="O6" i="4" s="1"/>
  <c r="P6" i="4" s="1"/>
  <c r="N10" i="3"/>
  <c r="O10" i="3" s="1"/>
  <c r="P10" i="3" s="1"/>
  <c r="M10" i="3"/>
  <c r="N9" i="3"/>
  <c r="M9" i="3"/>
  <c r="O9" i="3" s="1"/>
  <c r="P9" i="3" s="1"/>
  <c r="N8" i="3"/>
  <c r="O8" i="3" s="1"/>
  <c r="P8" i="3" s="1"/>
  <c r="M8" i="3"/>
  <c r="N7" i="3"/>
  <c r="O7" i="3" s="1"/>
  <c r="P7" i="3" s="1"/>
  <c r="M7" i="3"/>
  <c r="N6" i="3"/>
  <c r="M6" i="3"/>
  <c r="O6" i="3" s="1"/>
  <c r="P6" i="3" s="1"/>
  <c r="N10" i="2"/>
  <c r="O10" i="2" s="1"/>
  <c r="P10" i="2" s="1"/>
  <c r="M10" i="2"/>
  <c r="N9" i="2"/>
  <c r="O9" i="2" s="1"/>
  <c r="P9" i="2" s="1"/>
  <c r="M9" i="2"/>
  <c r="O8" i="2"/>
  <c r="P8" i="2" s="1"/>
  <c r="N8" i="2"/>
  <c r="M8" i="2"/>
  <c r="N7" i="2"/>
  <c r="O7" i="2" s="1"/>
  <c r="P7" i="2" s="1"/>
  <c r="M7" i="2"/>
  <c r="N6" i="2"/>
  <c r="O6" i="2" s="1"/>
  <c r="P6" i="2" s="1"/>
  <c r="M6" i="2"/>
  <c r="K10" i="1"/>
  <c r="K9" i="1"/>
  <c r="K8" i="1"/>
  <c r="K7" i="1"/>
  <c r="K6" i="1"/>
  <c r="P7" i="1"/>
  <c r="P8" i="1"/>
  <c r="P9" i="1"/>
  <c r="P10" i="1"/>
  <c r="P6" i="1"/>
  <c r="O7" i="1"/>
  <c r="O8" i="1"/>
  <c r="O9" i="1"/>
  <c r="O10" i="1"/>
  <c r="O6" i="1"/>
  <c r="N6" i="1"/>
  <c r="N7" i="1"/>
  <c r="N8" i="1"/>
  <c r="N9" i="1"/>
  <c r="N10" i="1"/>
  <c r="M7" i="1"/>
  <c r="M8" i="1"/>
  <c r="M9" i="1"/>
  <c r="M10" i="1"/>
  <c r="M6" i="1"/>
</calcChain>
</file>

<file path=xl/sharedStrings.xml><?xml version="1.0" encoding="utf-8"?>
<sst xmlns="http://schemas.openxmlformats.org/spreadsheetml/2006/main" count="40" uniqueCount="7">
  <si>
    <t>F</t>
  </si>
  <si>
    <t>V1</t>
  </si>
  <si>
    <t>V2</t>
  </si>
  <si>
    <t>METAL, SMART, 1-2RPS</t>
  </si>
  <si>
    <t>METAL, SMART 1RPS</t>
  </si>
  <si>
    <t>METAL, DUMB, 1RPS</t>
  </si>
  <si>
    <t>No diode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</si>
</sst>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Metal (1:90), DUMB, 1RPS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'All metal'!$P$6:$P$10</c:f>
              <c:numCache>
                <c:formatCode>General</c:formatCode>
                <c:ptCount val="5"/>
                <c:pt idx="0">
                  <c:v>2.7777777777777776E-2</c:v>
                </c:pt>
                <c:pt idx="1">
                  <c:v>9.375E-2</c:v>
                </c:pt>
                <c:pt idx="2">
                  <c:v>0.16304347826086957</c:v>
                </c:pt>
                <c:pt idx="3">
                  <c:v>0.14583333333333334</c:v>
                </c:pt>
                <c:pt idx="4">
                  <c:v>0.13235294117647059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2-47BB-9DDB-27D84D607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84255"/>
        <c:axId val="79380895"/>
      </c:barChart>
      <c:catAx>
        <c:axId val="7938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0895"/>
        <c:crosses val="autoZero"/>
        <c:auto val="1"/>
        <c:lblAlgn val="ctr"/>
        <c:lblOffset val="100"/>
        <c:noMultiLvlLbl val="0"/>
      </c:catAx>
      <c:valAx>
        <c:axId val="793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Crank output</a:t>
                </a:r>
                <a:r>
                  <a:rPr lang="en-US" baseline="0"/>
                  <a:t> [W]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Metal (1:90), SMART, 1RPS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'All metal (2)'!$P$6:$P$10</c:f>
              <c:numCache>
                <c:formatCode>General</c:formatCode>
                <c:ptCount val="5"/>
                <c:pt idx="0">
                  <c:v>2.1428571428571429E-2</c:v>
                </c:pt>
                <c:pt idx="1">
                  <c:v>5.6250000000000001E-2</c:v>
                </c:pt>
                <c:pt idx="2">
                  <c:v>0.15</c:v>
                </c:pt>
                <c:pt idx="3">
                  <c:v>0.125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D-4419-B8C3-DEA595E19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84255"/>
        <c:axId val="79380895"/>
      </c:barChart>
      <c:catAx>
        <c:axId val="7938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0895"/>
        <c:crosses val="autoZero"/>
        <c:auto val="1"/>
        <c:lblAlgn val="ctr"/>
        <c:lblOffset val="100"/>
        <c:noMultiLvlLbl val="0"/>
      </c:catAx>
      <c:valAx>
        <c:axId val="793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Crank output</a:t>
                </a:r>
                <a:r>
                  <a:rPr lang="en-US" baseline="0"/>
                  <a:t> [W]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Plastic (1:45), SMART, 1RPS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'All metal (3)'!$P$6:$P$10</c:f>
              <c:numCache>
                <c:formatCode>General</c:formatCode>
                <c:ptCount val="5"/>
                <c:pt idx="0">
                  <c:v>2.6785714285714284E-2</c:v>
                </c:pt>
                <c:pt idx="1">
                  <c:v>7.4999999999999997E-2</c:v>
                </c:pt>
                <c:pt idx="2">
                  <c:v>0.125</c:v>
                </c:pt>
                <c:pt idx="3">
                  <c:v>0.19444444444444445</c:v>
                </c:pt>
                <c:pt idx="4">
                  <c:v>0.23275862068965517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3-44A2-8399-6C38C705D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84255"/>
        <c:axId val="79380895"/>
      </c:barChart>
      <c:catAx>
        <c:axId val="7938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0895"/>
        <c:crosses val="autoZero"/>
        <c:auto val="1"/>
        <c:lblAlgn val="ctr"/>
        <c:lblOffset val="100"/>
        <c:noMultiLvlLbl val="0"/>
      </c:catAx>
      <c:valAx>
        <c:axId val="793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Crank output</a:t>
                </a:r>
                <a:r>
                  <a:rPr lang="en-US" baseline="0"/>
                  <a:t> [W]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Metal</a:t>
            </a:r>
            <a:r>
              <a:rPr lang="en-US" baseline="0"/>
              <a:t> (1:90), SMART, 1-2RPS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'All metal (4)'!$P$6:$P$10</c:f>
              <c:numCache>
                <c:formatCode>General</c:formatCode>
                <c:ptCount val="5"/>
                <c:pt idx="0">
                  <c:v>2.6785714285714284E-2</c:v>
                </c:pt>
                <c:pt idx="1">
                  <c:v>0.15</c:v>
                </c:pt>
                <c:pt idx="2">
                  <c:v>0.25</c:v>
                </c:pt>
                <c:pt idx="3">
                  <c:v>0.26250000000000001</c:v>
                </c:pt>
                <c:pt idx="4">
                  <c:v>0.22500000000000001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F-48DA-9D4B-93836EC5D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84255"/>
        <c:axId val="79380895"/>
      </c:barChart>
      <c:catAx>
        <c:axId val="7938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0895"/>
        <c:crosses val="autoZero"/>
        <c:auto val="1"/>
        <c:lblAlgn val="ctr"/>
        <c:lblOffset val="100"/>
        <c:noMultiLvlLbl val="0"/>
      </c:catAx>
      <c:valAx>
        <c:axId val="793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Crank output</a:t>
                </a:r>
                <a:r>
                  <a:rPr lang="en-US" baseline="0"/>
                  <a:t> [W]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Metal</a:t>
            </a:r>
            <a:r>
              <a:rPr lang="en-US" baseline="0"/>
              <a:t> (1:90), LV-Bypass, 1-2RPS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'All metal (5)'!$P$6:$P$10</c:f>
              <c:numCache>
                <c:formatCode>General</c:formatCode>
                <c:ptCount val="5"/>
                <c:pt idx="0">
                  <c:v>0.1875</c:v>
                </c:pt>
                <c:pt idx="1">
                  <c:v>0.45</c:v>
                </c:pt>
                <c:pt idx="2">
                  <c:v>0.5357142857142857</c:v>
                </c:pt>
                <c:pt idx="3">
                  <c:v>0.58333333333333337</c:v>
                </c:pt>
                <c:pt idx="4">
                  <c:v>0.5625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9-4C88-871D-8A29A20F8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84255"/>
        <c:axId val="79380895"/>
      </c:barChart>
      <c:catAx>
        <c:axId val="7938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0895"/>
        <c:crosses val="autoZero"/>
        <c:auto val="1"/>
        <c:lblAlgn val="ctr"/>
        <c:lblOffset val="100"/>
        <c:noMultiLvlLbl val="0"/>
      </c:catAx>
      <c:valAx>
        <c:axId val="793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Crank output</a:t>
                </a:r>
                <a:r>
                  <a:rPr lang="en-US" baseline="0"/>
                  <a:t> [W]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Plastic</a:t>
            </a:r>
            <a:r>
              <a:rPr lang="en-US" baseline="0"/>
              <a:t> (1:45), LV-Bypass, 1-2RPS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'All metal (6)'!$P$6:$P$10</c:f>
              <c:numCache>
                <c:formatCode>General</c:formatCode>
                <c:ptCount val="5"/>
                <c:pt idx="0">
                  <c:v>0.16666666666666666</c:v>
                </c:pt>
                <c:pt idx="1">
                  <c:v>0.45</c:v>
                </c:pt>
                <c:pt idx="2">
                  <c:v>0.46875</c:v>
                </c:pt>
                <c:pt idx="3">
                  <c:v>0.4375</c:v>
                </c:pt>
                <c:pt idx="4">
                  <c:v>0.421875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B-4A03-8CE8-9A975B3BE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84255"/>
        <c:axId val="79380895"/>
      </c:barChart>
      <c:catAx>
        <c:axId val="7938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0895"/>
        <c:crosses val="autoZero"/>
        <c:auto val="1"/>
        <c:lblAlgn val="ctr"/>
        <c:lblOffset val="100"/>
        <c:noMultiLvlLbl val="0"/>
      </c:catAx>
      <c:valAx>
        <c:axId val="793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Crank output</a:t>
                </a:r>
                <a:r>
                  <a:rPr lang="en-US" baseline="0"/>
                  <a:t> [W]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Plastic</a:t>
            </a:r>
            <a:r>
              <a:rPr lang="en-US" baseline="0"/>
              <a:t> (1:45), LV-Bypass, 1-2RPS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NEW!$P$6:$P$10</c:f>
              <c:numCache>
                <c:formatCode>General</c:formatCode>
                <c:ptCount val="5"/>
                <c:pt idx="0">
                  <c:v>0.25</c:v>
                </c:pt>
                <c:pt idx="1">
                  <c:v>0.45</c:v>
                </c:pt>
                <c:pt idx="2">
                  <c:v>0.41666666666666669</c:v>
                </c:pt>
                <c:pt idx="3">
                  <c:v>0.30882352941176472</c:v>
                </c:pt>
                <c:pt idx="4">
                  <c:v>0.28125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0-465F-A85F-6E1EAC243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84255"/>
        <c:axId val="79380895"/>
      </c:barChart>
      <c:catAx>
        <c:axId val="7938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0895"/>
        <c:crosses val="autoZero"/>
        <c:auto val="1"/>
        <c:lblAlgn val="ctr"/>
        <c:lblOffset val="100"/>
        <c:noMultiLvlLbl val="0"/>
      </c:catAx>
      <c:valAx>
        <c:axId val="793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Crank output</a:t>
                </a:r>
                <a:r>
                  <a:rPr lang="en-US" baseline="0"/>
                  <a:t> [W]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Metal</a:t>
            </a:r>
            <a:r>
              <a:rPr lang="en-US" baseline="0"/>
              <a:t> (1:90), LV-Bypass, 1-2RPS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'NEW (2)'!$P$6:$P$10</c:f>
              <c:numCache>
                <c:formatCode>General</c:formatCode>
                <c:ptCount val="5"/>
                <c:pt idx="0">
                  <c:v>0.375</c:v>
                </c:pt>
                <c:pt idx="1">
                  <c:v>0.57692307692307698</c:v>
                </c:pt>
                <c:pt idx="2">
                  <c:v>0.65217391304347827</c:v>
                </c:pt>
                <c:pt idx="3">
                  <c:v>0.52500000000000002</c:v>
                </c:pt>
                <c:pt idx="4">
                  <c:v>0.46551724137931033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0-4D29-A71D-A5D9EBB19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84255"/>
        <c:axId val="79380895"/>
      </c:barChart>
      <c:catAx>
        <c:axId val="7938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0895"/>
        <c:crosses val="autoZero"/>
        <c:auto val="1"/>
        <c:lblAlgn val="ctr"/>
        <c:lblOffset val="100"/>
        <c:noMultiLvlLbl val="0"/>
      </c:catAx>
      <c:valAx>
        <c:axId val="793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Crank output</a:t>
                </a:r>
                <a:r>
                  <a:rPr lang="en-US" baseline="0"/>
                  <a:t> [W]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Plastic</a:t>
            </a:r>
            <a:r>
              <a:rPr lang="en-US" baseline="0"/>
              <a:t> (1:45), LV-Bypass, 1-2RPS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'NEW (3)'!$P$6:$P$10</c:f>
              <c:numCache>
                <c:formatCode>General</c:formatCode>
                <c:ptCount val="5"/>
                <c:pt idx="0">
                  <c:v>0.375</c:v>
                </c:pt>
                <c:pt idx="1">
                  <c:v>0.5625</c:v>
                </c:pt>
                <c:pt idx="2">
                  <c:v>0.625</c:v>
                </c:pt>
                <c:pt idx="3">
                  <c:v>0.40384615384615385</c:v>
                </c:pt>
                <c:pt idx="4">
                  <c:v>0.30681818181818182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1-432D-808C-6805CFF38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84255"/>
        <c:axId val="79380895"/>
      </c:barChart>
      <c:catAx>
        <c:axId val="7938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0895"/>
        <c:crosses val="autoZero"/>
        <c:auto val="1"/>
        <c:lblAlgn val="ctr"/>
        <c:lblOffset val="100"/>
        <c:noMultiLvlLbl val="0"/>
      </c:catAx>
      <c:valAx>
        <c:axId val="793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Crank output</a:t>
                </a:r>
                <a:r>
                  <a:rPr lang="en-US" baseline="0"/>
                  <a:t> [W]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Plastic</a:t>
            </a:r>
            <a:r>
              <a:rPr lang="en-US" baseline="0"/>
              <a:t> (1:45), LV-Bypass, 1-2RPS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'NEW (4)'!$P$6:$P$10</c:f>
              <c:numCache>
                <c:formatCode>General</c:formatCode>
                <c:ptCount val="5"/>
                <c:pt idx="0">
                  <c:v>0.25</c:v>
                </c:pt>
                <c:pt idx="1">
                  <c:v>0.5625</c:v>
                </c:pt>
                <c:pt idx="2">
                  <c:v>0.5357142857142857</c:v>
                </c:pt>
                <c:pt idx="3">
                  <c:v>0.375</c:v>
                </c:pt>
                <c:pt idx="4">
                  <c:v>0.30681818181818182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6-4200-9878-376C23EE4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84255"/>
        <c:axId val="79380895"/>
      </c:barChart>
      <c:catAx>
        <c:axId val="7938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0895"/>
        <c:crosses val="autoZero"/>
        <c:auto val="1"/>
        <c:lblAlgn val="ctr"/>
        <c:lblOffset val="100"/>
        <c:noMultiLvlLbl val="0"/>
      </c:catAx>
      <c:valAx>
        <c:axId val="793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Crank output</a:t>
                </a:r>
                <a:r>
                  <a:rPr lang="en-US" baseline="0"/>
                  <a:t> [W]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26504</xdr:colOff>
      <xdr:row>11</xdr:row>
      <xdr:rowOff>82827</xdr:rowOff>
    </xdr:from>
    <xdr:to>
      <xdr:col>15</xdr:col>
      <xdr:colOff>331304</xdr:colOff>
      <xdr:row>26</xdr:row>
      <xdr:rowOff>43071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DAF5C-E412-1136-2C17-2F81BA25D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26504</xdr:colOff>
      <xdr:row>11</xdr:row>
      <xdr:rowOff>82827</xdr:rowOff>
    </xdr:from>
    <xdr:to>
      <xdr:col>15</xdr:col>
      <xdr:colOff>331304</xdr:colOff>
      <xdr:row>26</xdr:row>
      <xdr:rowOff>43071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0CB187-AEC5-4612-8705-6538C9727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26504</xdr:colOff>
      <xdr:row>11</xdr:row>
      <xdr:rowOff>82827</xdr:rowOff>
    </xdr:from>
    <xdr:to>
      <xdr:col>15</xdr:col>
      <xdr:colOff>331304</xdr:colOff>
      <xdr:row>26</xdr:row>
      <xdr:rowOff>43071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3EF715-DC40-4D73-8DFE-949A36FAF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26504</xdr:colOff>
      <xdr:row>11</xdr:row>
      <xdr:rowOff>82827</xdr:rowOff>
    </xdr:from>
    <xdr:to>
      <xdr:col>15</xdr:col>
      <xdr:colOff>331304</xdr:colOff>
      <xdr:row>26</xdr:row>
      <xdr:rowOff>43071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B6768-534A-42AB-A364-65250DEBB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26504</xdr:colOff>
      <xdr:row>11</xdr:row>
      <xdr:rowOff>82827</xdr:rowOff>
    </xdr:from>
    <xdr:to>
      <xdr:col>15</xdr:col>
      <xdr:colOff>331304</xdr:colOff>
      <xdr:row>26</xdr:row>
      <xdr:rowOff>43071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B0B78-2781-49C8-B116-2AA620B5C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26504</xdr:colOff>
      <xdr:row>11</xdr:row>
      <xdr:rowOff>82827</xdr:rowOff>
    </xdr:from>
    <xdr:to>
      <xdr:col>15</xdr:col>
      <xdr:colOff>331304</xdr:colOff>
      <xdr:row>26</xdr:row>
      <xdr:rowOff>43071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AC1BE-F7EF-4E32-83EF-D6F5AE13F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26504</xdr:colOff>
      <xdr:row>11</xdr:row>
      <xdr:rowOff>82827</xdr:rowOff>
    </xdr:from>
    <xdr:to>
      <xdr:col>15</xdr:col>
      <xdr:colOff>331304</xdr:colOff>
      <xdr:row>26</xdr:row>
      <xdr:rowOff>43071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CD2E6-9C5E-495F-8D4E-3E6371D0B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26504</xdr:colOff>
      <xdr:row>11</xdr:row>
      <xdr:rowOff>82827</xdr:rowOff>
    </xdr:from>
    <xdr:to>
      <xdr:col>15</xdr:col>
      <xdr:colOff>331304</xdr:colOff>
      <xdr:row>26</xdr:row>
      <xdr:rowOff>43071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BF6FF9-3DFB-4D0A-BB7D-77BC5684A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26504</xdr:colOff>
      <xdr:row>11</xdr:row>
      <xdr:rowOff>82827</xdr:rowOff>
    </xdr:from>
    <xdr:to>
      <xdr:col>15</xdr:col>
      <xdr:colOff>331304</xdr:colOff>
      <xdr:row>26</xdr:row>
      <xdr:rowOff>43071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982F5-DA5B-461F-8F93-909BCAFD5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26504</xdr:colOff>
      <xdr:row>11</xdr:row>
      <xdr:rowOff>82827</xdr:rowOff>
    </xdr:from>
    <xdr:to>
      <xdr:col>15</xdr:col>
      <xdr:colOff>331304</xdr:colOff>
      <xdr:row>26</xdr:row>
      <xdr:rowOff>43071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C4C0A-73B7-4F7B-B1BE-5D4F36C0F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8EF5-F003-4652-A36C-94457B7F3530}">
  <dimension ref="E2:P20"/>
  <sheetViews>
    <sheetView zoomScale="115" zoomScaleNormal="115" workbookViewId="0">
      <selection activeCell="W13" sqref="W13"/>
    </sheetView>
  </sheetViews>
  <sheetFormatPr defaultRowHeight="14.4" x14ac:dyDescent="0.3"/>
  <sheetData>
    <row r="2" spans="5:16" x14ac:dyDescent="0.3">
      <c r="I2" t="s">
        <v>5</v>
      </c>
    </row>
    <row r="3" spans="5:16" x14ac:dyDescent="0.3">
      <c r="F3">
        <v>1.5</v>
      </c>
      <c r="G3" t="s">
        <v>0</v>
      </c>
    </row>
    <row r="5" spans="5:16" x14ac:dyDescent="0.3">
      <c r="I5" t="s">
        <v>1</v>
      </c>
      <c r="J5" t="s">
        <v>2</v>
      </c>
    </row>
    <row r="6" spans="5:16" x14ac:dyDescent="0.3">
      <c r="E6">
        <v>1</v>
      </c>
      <c r="F6">
        <v>2</v>
      </c>
      <c r="I6">
        <v>0</v>
      </c>
      <c r="J6">
        <v>1</v>
      </c>
      <c r="K6">
        <f>42-15</f>
        <v>27</v>
      </c>
      <c r="M6">
        <f>$F$3*0.5*I6*I6</f>
        <v>0</v>
      </c>
      <c r="N6">
        <f>$F$3*0.5*J6*J6</f>
        <v>0.75</v>
      </c>
      <c r="O6">
        <f>N6-M6</f>
        <v>0.75</v>
      </c>
      <c r="P6">
        <f>O6/K6</f>
        <v>2.7777777777777776E-2</v>
      </c>
    </row>
    <row r="7" spans="5:16" x14ac:dyDescent="0.3">
      <c r="F7">
        <v>14</v>
      </c>
      <c r="I7">
        <v>1</v>
      </c>
      <c r="J7">
        <v>2</v>
      </c>
      <c r="K7">
        <f>29-5</f>
        <v>24</v>
      </c>
      <c r="M7">
        <f t="shared" ref="M7:N10" si="0">$F$3*0.5*I7*I7</f>
        <v>0.75</v>
      </c>
      <c r="N7">
        <f t="shared" si="0"/>
        <v>3</v>
      </c>
      <c r="O7">
        <f t="shared" ref="O7:O10" si="1">N7-M7</f>
        <v>2.25</v>
      </c>
      <c r="P7">
        <f t="shared" ref="P7:P10" si="2">O7/K7</f>
        <v>9.375E-2</v>
      </c>
    </row>
    <row r="8" spans="5:16" x14ac:dyDescent="0.3">
      <c r="I8">
        <v>2</v>
      </c>
      <c r="J8">
        <v>3</v>
      </c>
      <c r="K8">
        <f>28-5</f>
        <v>23</v>
      </c>
      <c r="M8">
        <f t="shared" si="0"/>
        <v>3</v>
      </c>
      <c r="N8">
        <f t="shared" si="0"/>
        <v>6.75</v>
      </c>
      <c r="O8">
        <f t="shared" si="1"/>
        <v>3.75</v>
      </c>
      <c r="P8">
        <f t="shared" si="2"/>
        <v>0.16304347826086957</v>
      </c>
    </row>
    <row r="9" spans="5:16" x14ac:dyDescent="0.3">
      <c r="I9">
        <v>3</v>
      </c>
      <c r="J9">
        <v>4</v>
      </c>
      <c r="K9">
        <f>41-5</f>
        <v>36</v>
      </c>
      <c r="M9">
        <f t="shared" si="0"/>
        <v>6.75</v>
      </c>
      <c r="N9">
        <f t="shared" si="0"/>
        <v>12</v>
      </c>
      <c r="O9">
        <f t="shared" si="1"/>
        <v>5.25</v>
      </c>
      <c r="P9">
        <f t="shared" si="2"/>
        <v>0.14583333333333334</v>
      </c>
    </row>
    <row r="10" spans="5:16" x14ac:dyDescent="0.3">
      <c r="I10">
        <v>4</v>
      </c>
      <c r="J10">
        <v>5</v>
      </c>
      <c r="K10">
        <f>56-5</f>
        <v>51</v>
      </c>
      <c r="M10">
        <f t="shared" si="0"/>
        <v>12</v>
      </c>
      <c r="N10">
        <f t="shared" si="0"/>
        <v>18.75</v>
      </c>
      <c r="O10">
        <f t="shared" si="1"/>
        <v>6.75</v>
      </c>
      <c r="P10">
        <f t="shared" si="2"/>
        <v>0.13235294117647059</v>
      </c>
    </row>
    <row r="12" spans="5:16" x14ac:dyDescent="0.3">
      <c r="E12">
        <v>2</v>
      </c>
      <c r="F12">
        <v>3</v>
      </c>
    </row>
    <row r="13" spans="5:16" x14ac:dyDescent="0.3">
      <c r="F13">
        <v>16</v>
      </c>
    </row>
    <row r="15" spans="5:16" x14ac:dyDescent="0.3">
      <c r="E15">
        <v>3</v>
      </c>
      <c r="F15">
        <v>4</v>
      </c>
    </row>
    <row r="16" spans="5:16" x14ac:dyDescent="0.3">
      <c r="F16">
        <v>21</v>
      </c>
    </row>
    <row r="19" spans="5:6" x14ac:dyDescent="0.3">
      <c r="E19">
        <v>4</v>
      </c>
      <c r="F19">
        <v>5</v>
      </c>
    </row>
    <row r="20" spans="5:6" x14ac:dyDescent="0.3">
      <c r="F20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5D69-0A20-4FB1-88E5-3D86FE239824}">
  <dimension ref="E2:P20"/>
  <sheetViews>
    <sheetView zoomScale="115" zoomScaleNormal="115" workbookViewId="0">
      <selection activeCell="G21" sqref="G21"/>
    </sheetView>
  </sheetViews>
  <sheetFormatPr defaultRowHeight="14.4" x14ac:dyDescent="0.3"/>
  <sheetData>
    <row r="2" spans="5:16" x14ac:dyDescent="0.3">
      <c r="I2" t="s">
        <v>4</v>
      </c>
    </row>
    <row r="3" spans="5:16" x14ac:dyDescent="0.3">
      <c r="F3">
        <v>1.5</v>
      </c>
      <c r="G3" t="s">
        <v>0</v>
      </c>
    </row>
    <row r="5" spans="5:16" x14ac:dyDescent="0.3">
      <c r="I5" t="s">
        <v>1</v>
      </c>
      <c r="J5" t="s">
        <v>2</v>
      </c>
    </row>
    <row r="6" spans="5:16" x14ac:dyDescent="0.3">
      <c r="E6">
        <v>1</v>
      </c>
      <c r="F6">
        <v>2</v>
      </c>
      <c r="I6">
        <v>0</v>
      </c>
      <c r="J6">
        <v>1</v>
      </c>
      <c r="K6">
        <v>35</v>
      </c>
      <c r="M6">
        <f>$F$3*0.5*I6*I6</f>
        <v>0</v>
      </c>
      <c r="N6">
        <f>$F$3*0.5*J6*J6</f>
        <v>0.75</v>
      </c>
      <c r="O6">
        <f>N6-M6</f>
        <v>0.75</v>
      </c>
      <c r="P6">
        <f>O6/K6</f>
        <v>2.1428571428571429E-2</v>
      </c>
    </row>
    <row r="7" spans="5:16" x14ac:dyDescent="0.3">
      <c r="F7">
        <v>14</v>
      </c>
      <c r="I7">
        <v>1</v>
      </c>
      <c r="J7">
        <v>2</v>
      </c>
      <c r="K7">
        <v>40</v>
      </c>
      <c r="M7">
        <f t="shared" ref="M7:N10" si="0">$F$3*0.5*I7*I7</f>
        <v>0.75</v>
      </c>
      <c r="N7">
        <f t="shared" si="0"/>
        <v>3</v>
      </c>
      <c r="O7">
        <f t="shared" ref="O7:O10" si="1">N7-M7</f>
        <v>2.25</v>
      </c>
      <c r="P7">
        <f t="shared" ref="P7:P10" si="2">O7/K7</f>
        <v>5.6250000000000001E-2</v>
      </c>
    </row>
    <row r="8" spans="5:16" x14ac:dyDescent="0.3">
      <c r="I8">
        <v>2</v>
      </c>
      <c r="J8">
        <v>3</v>
      </c>
      <c r="K8">
        <v>25</v>
      </c>
      <c r="M8">
        <f t="shared" si="0"/>
        <v>3</v>
      </c>
      <c r="N8">
        <f t="shared" si="0"/>
        <v>6.75</v>
      </c>
      <c r="O8">
        <f t="shared" si="1"/>
        <v>3.75</v>
      </c>
      <c r="P8">
        <f t="shared" si="2"/>
        <v>0.15</v>
      </c>
    </row>
    <row r="9" spans="5:16" x14ac:dyDescent="0.3">
      <c r="I9">
        <v>3</v>
      </c>
      <c r="J9">
        <v>4</v>
      </c>
      <c r="K9">
        <v>42</v>
      </c>
      <c r="M9">
        <f t="shared" si="0"/>
        <v>6.75</v>
      </c>
      <c r="N9">
        <f t="shared" si="0"/>
        <v>12</v>
      </c>
      <c r="O9">
        <f t="shared" si="1"/>
        <v>5.25</v>
      </c>
      <c r="P9">
        <f t="shared" si="2"/>
        <v>0.125</v>
      </c>
    </row>
    <row r="10" spans="5:16" x14ac:dyDescent="0.3">
      <c r="I10">
        <v>4</v>
      </c>
      <c r="J10">
        <v>5</v>
      </c>
      <c r="K10">
        <v>45</v>
      </c>
      <c r="M10">
        <f t="shared" si="0"/>
        <v>12</v>
      </c>
      <c r="N10">
        <f t="shared" si="0"/>
        <v>18.75</v>
      </c>
      <c r="O10">
        <f t="shared" si="1"/>
        <v>6.75</v>
      </c>
      <c r="P10">
        <f t="shared" si="2"/>
        <v>0.15</v>
      </c>
    </row>
    <row r="12" spans="5:16" x14ac:dyDescent="0.3">
      <c r="E12">
        <v>2</v>
      </c>
      <c r="F12">
        <v>3</v>
      </c>
    </row>
    <row r="13" spans="5:16" x14ac:dyDescent="0.3">
      <c r="F13">
        <v>16</v>
      </c>
    </row>
    <row r="15" spans="5:16" x14ac:dyDescent="0.3">
      <c r="E15">
        <v>3</v>
      </c>
      <c r="F15">
        <v>4</v>
      </c>
    </row>
    <row r="16" spans="5:16" x14ac:dyDescent="0.3">
      <c r="F16">
        <v>21</v>
      </c>
    </row>
    <row r="19" spans="5:6" x14ac:dyDescent="0.3">
      <c r="E19">
        <v>4</v>
      </c>
      <c r="F19">
        <v>5</v>
      </c>
    </row>
    <row r="20" spans="5:6" x14ac:dyDescent="0.3">
      <c r="F20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A1AC-A945-484F-A5A5-CF46D51E322A}">
  <dimension ref="E3:P20"/>
  <sheetViews>
    <sheetView zoomScale="115" zoomScaleNormal="115" workbookViewId="0">
      <selection activeCell="H26" sqref="H26"/>
    </sheetView>
  </sheetViews>
  <sheetFormatPr defaultRowHeight="14.4" x14ac:dyDescent="0.3"/>
  <sheetData>
    <row r="3" spans="5:16" x14ac:dyDescent="0.3">
      <c r="F3">
        <v>1.5</v>
      </c>
      <c r="G3" t="s">
        <v>0</v>
      </c>
    </row>
    <row r="5" spans="5:16" x14ac:dyDescent="0.3">
      <c r="I5" t="s">
        <v>1</v>
      </c>
      <c r="J5" t="s">
        <v>2</v>
      </c>
    </row>
    <row r="6" spans="5:16" x14ac:dyDescent="0.3">
      <c r="E6">
        <v>1</v>
      </c>
      <c r="F6">
        <v>2</v>
      </c>
      <c r="I6">
        <v>0</v>
      </c>
      <c r="J6">
        <v>1</v>
      </c>
      <c r="K6">
        <v>28</v>
      </c>
      <c r="M6">
        <f>$F$3*0.5*I6*I6</f>
        <v>0</v>
      </c>
      <c r="N6">
        <f>$F$3*0.5*J6*J6</f>
        <v>0.75</v>
      </c>
      <c r="O6">
        <f>N6-M6</f>
        <v>0.75</v>
      </c>
      <c r="P6">
        <f>O6/K6</f>
        <v>2.6785714285714284E-2</v>
      </c>
    </row>
    <row r="7" spans="5:16" x14ac:dyDescent="0.3">
      <c r="F7">
        <v>14</v>
      </c>
      <c r="I7">
        <v>1</v>
      </c>
      <c r="J7">
        <v>2</v>
      </c>
      <c r="K7">
        <v>30</v>
      </c>
      <c r="M7">
        <f t="shared" ref="M7:N10" si="0">$F$3*0.5*I7*I7</f>
        <v>0.75</v>
      </c>
      <c r="N7">
        <f t="shared" si="0"/>
        <v>3</v>
      </c>
      <c r="O7">
        <f t="shared" ref="O7:O10" si="1">N7-M7</f>
        <v>2.25</v>
      </c>
      <c r="P7">
        <f t="shared" ref="P7:P10" si="2">O7/K7</f>
        <v>7.4999999999999997E-2</v>
      </c>
    </row>
    <row r="8" spans="5:16" x14ac:dyDescent="0.3">
      <c r="I8">
        <v>2</v>
      </c>
      <c r="J8">
        <v>3</v>
      </c>
      <c r="K8">
        <v>30</v>
      </c>
      <c r="M8">
        <f t="shared" si="0"/>
        <v>3</v>
      </c>
      <c r="N8">
        <f t="shared" si="0"/>
        <v>6.75</v>
      </c>
      <c r="O8">
        <f t="shared" si="1"/>
        <v>3.75</v>
      </c>
      <c r="P8">
        <f t="shared" si="2"/>
        <v>0.125</v>
      </c>
    </row>
    <row r="9" spans="5:16" x14ac:dyDescent="0.3">
      <c r="I9">
        <v>3</v>
      </c>
      <c r="J9">
        <v>4</v>
      </c>
      <c r="K9">
        <v>27</v>
      </c>
      <c r="M9">
        <f t="shared" si="0"/>
        <v>6.75</v>
      </c>
      <c r="N9">
        <f t="shared" si="0"/>
        <v>12</v>
      </c>
      <c r="O9">
        <f t="shared" si="1"/>
        <v>5.25</v>
      </c>
      <c r="P9">
        <f t="shared" si="2"/>
        <v>0.19444444444444445</v>
      </c>
    </row>
    <row r="10" spans="5:16" x14ac:dyDescent="0.3">
      <c r="I10">
        <v>4</v>
      </c>
      <c r="J10">
        <v>5</v>
      </c>
      <c r="K10">
        <v>29</v>
      </c>
      <c r="M10">
        <f t="shared" si="0"/>
        <v>12</v>
      </c>
      <c r="N10">
        <f t="shared" si="0"/>
        <v>18.75</v>
      </c>
      <c r="O10">
        <f t="shared" si="1"/>
        <v>6.75</v>
      </c>
      <c r="P10">
        <f t="shared" si="2"/>
        <v>0.23275862068965517</v>
      </c>
    </row>
    <row r="12" spans="5:16" x14ac:dyDescent="0.3">
      <c r="E12">
        <v>2</v>
      </c>
      <c r="F12">
        <v>3</v>
      </c>
    </row>
    <row r="13" spans="5:16" x14ac:dyDescent="0.3">
      <c r="F13">
        <v>16</v>
      </c>
    </row>
    <row r="15" spans="5:16" x14ac:dyDescent="0.3">
      <c r="E15">
        <v>3</v>
      </c>
      <c r="F15">
        <v>4</v>
      </c>
    </row>
    <row r="16" spans="5:16" x14ac:dyDescent="0.3">
      <c r="F16">
        <v>21</v>
      </c>
    </row>
    <row r="19" spans="5:6" x14ac:dyDescent="0.3">
      <c r="E19">
        <v>4</v>
      </c>
      <c r="F19">
        <v>5</v>
      </c>
    </row>
    <row r="20" spans="5:6" x14ac:dyDescent="0.3">
      <c r="F20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26AF-8565-4276-83C7-F4965002AA07}">
  <dimension ref="E3:P20"/>
  <sheetViews>
    <sheetView zoomScale="115" zoomScaleNormal="115" workbookViewId="0">
      <selection activeCell="H31" sqref="H31"/>
    </sheetView>
  </sheetViews>
  <sheetFormatPr defaultRowHeight="14.4" x14ac:dyDescent="0.3"/>
  <sheetData>
    <row r="3" spans="5:16" x14ac:dyDescent="0.3">
      <c r="F3">
        <v>1.5</v>
      </c>
      <c r="G3" t="s">
        <v>0</v>
      </c>
      <c r="L3" t="s">
        <v>3</v>
      </c>
    </row>
    <row r="5" spans="5:16" x14ac:dyDescent="0.3">
      <c r="I5" t="s">
        <v>1</v>
      </c>
      <c r="J5" t="s">
        <v>2</v>
      </c>
    </row>
    <row r="6" spans="5:16" x14ac:dyDescent="0.3">
      <c r="E6">
        <v>1</v>
      </c>
      <c r="F6">
        <v>2</v>
      </c>
      <c r="I6">
        <v>0</v>
      </c>
      <c r="J6">
        <v>1</v>
      </c>
      <c r="K6">
        <v>28</v>
      </c>
      <c r="M6">
        <f>$F$3*0.5*I6*I6</f>
        <v>0</v>
      </c>
      <c r="N6">
        <f>$F$3*0.5*J6*J6</f>
        <v>0.75</v>
      </c>
      <c r="O6">
        <f>N6-M6</f>
        <v>0.75</v>
      </c>
      <c r="P6">
        <f>O6/K6</f>
        <v>2.6785714285714284E-2</v>
      </c>
    </row>
    <row r="7" spans="5:16" x14ac:dyDescent="0.3">
      <c r="F7">
        <v>14</v>
      </c>
      <c r="I7">
        <v>1</v>
      </c>
      <c r="J7">
        <v>2</v>
      </c>
      <c r="K7">
        <v>15</v>
      </c>
      <c r="M7">
        <f t="shared" ref="M7:N10" si="0">$F$3*0.5*I7*I7</f>
        <v>0.75</v>
      </c>
      <c r="N7">
        <f t="shared" si="0"/>
        <v>3</v>
      </c>
      <c r="O7">
        <f t="shared" ref="O7:O10" si="1">N7-M7</f>
        <v>2.25</v>
      </c>
      <c r="P7">
        <f t="shared" ref="P7:P10" si="2">O7/K7</f>
        <v>0.15</v>
      </c>
    </row>
    <row r="8" spans="5:16" x14ac:dyDescent="0.3">
      <c r="I8">
        <v>2</v>
      </c>
      <c r="J8">
        <v>3</v>
      </c>
      <c r="K8">
        <v>15</v>
      </c>
      <c r="M8">
        <f t="shared" si="0"/>
        <v>3</v>
      </c>
      <c r="N8">
        <f t="shared" si="0"/>
        <v>6.75</v>
      </c>
      <c r="O8">
        <f t="shared" si="1"/>
        <v>3.75</v>
      </c>
      <c r="P8">
        <f t="shared" si="2"/>
        <v>0.25</v>
      </c>
    </row>
    <row r="9" spans="5:16" x14ac:dyDescent="0.3">
      <c r="I9">
        <v>3</v>
      </c>
      <c r="J9">
        <v>4</v>
      </c>
      <c r="K9">
        <v>20</v>
      </c>
      <c r="M9">
        <f t="shared" si="0"/>
        <v>6.75</v>
      </c>
      <c r="N9">
        <f t="shared" si="0"/>
        <v>12</v>
      </c>
      <c r="O9">
        <f t="shared" si="1"/>
        <v>5.25</v>
      </c>
      <c r="P9">
        <f t="shared" si="2"/>
        <v>0.26250000000000001</v>
      </c>
    </row>
    <row r="10" spans="5:16" x14ac:dyDescent="0.3">
      <c r="I10">
        <v>4</v>
      </c>
      <c r="J10">
        <v>5</v>
      </c>
      <c r="K10">
        <v>30</v>
      </c>
      <c r="M10">
        <f t="shared" si="0"/>
        <v>12</v>
      </c>
      <c r="N10">
        <f t="shared" si="0"/>
        <v>18.75</v>
      </c>
      <c r="O10">
        <f t="shared" si="1"/>
        <v>6.75</v>
      </c>
      <c r="P10">
        <f t="shared" si="2"/>
        <v>0.22500000000000001</v>
      </c>
    </row>
    <row r="12" spans="5:16" x14ac:dyDescent="0.3">
      <c r="E12">
        <v>2</v>
      </c>
      <c r="F12">
        <v>3</v>
      </c>
    </row>
    <row r="13" spans="5:16" x14ac:dyDescent="0.3">
      <c r="F13">
        <v>16</v>
      </c>
    </row>
    <row r="15" spans="5:16" x14ac:dyDescent="0.3">
      <c r="E15">
        <v>3</v>
      </c>
      <c r="F15">
        <v>4</v>
      </c>
    </row>
    <row r="16" spans="5:16" x14ac:dyDescent="0.3">
      <c r="F16">
        <v>21</v>
      </c>
    </row>
    <row r="19" spans="5:6" x14ac:dyDescent="0.3">
      <c r="E19">
        <v>4</v>
      </c>
      <c r="F19">
        <v>5</v>
      </c>
    </row>
    <row r="20" spans="5:6" x14ac:dyDescent="0.3">
      <c r="F20">
        <v>30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BE05-D582-4174-B365-CFBF674CD8F5}">
  <dimension ref="E3:P20"/>
  <sheetViews>
    <sheetView topLeftCell="B1" zoomScale="115" zoomScaleNormal="115" workbookViewId="0">
      <selection activeCell="R13" sqref="R13"/>
    </sheetView>
  </sheetViews>
  <sheetFormatPr defaultRowHeight="14.4" x14ac:dyDescent="0.3"/>
  <sheetData>
    <row r="3" spans="5:16" x14ac:dyDescent="0.3">
      <c r="F3">
        <v>1.5</v>
      </c>
      <c r="G3" t="s">
        <v>0</v>
      </c>
      <c r="L3" t="s">
        <v>3</v>
      </c>
    </row>
    <row r="5" spans="5:16" x14ac:dyDescent="0.3">
      <c r="I5" t="s">
        <v>1</v>
      </c>
      <c r="J5" t="s">
        <v>2</v>
      </c>
    </row>
    <row r="6" spans="5:16" x14ac:dyDescent="0.3">
      <c r="E6">
        <v>1</v>
      </c>
      <c r="F6">
        <v>2</v>
      </c>
      <c r="I6">
        <v>0</v>
      </c>
      <c r="J6">
        <v>1</v>
      </c>
      <c r="K6">
        <v>4</v>
      </c>
      <c r="M6">
        <f>$F$3*0.5*I6*I6</f>
        <v>0</v>
      </c>
      <c r="N6">
        <f>$F$3*0.5*J6*J6</f>
        <v>0.75</v>
      </c>
      <c r="O6">
        <f>N6-M6</f>
        <v>0.75</v>
      </c>
      <c r="P6">
        <f>O6/K6</f>
        <v>0.1875</v>
      </c>
    </row>
    <row r="7" spans="5:16" x14ac:dyDescent="0.3">
      <c r="F7">
        <v>14</v>
      </c>
      <c r="I7">
        <v>1</v>
      </c>
      <c r="J7">
        <v>2</v>
      </c>
      <c r="K7">
        <v>5</v>
      </c>
      <c r="M7">
        <f t="shared" ref="M7:N10" si="0">$F$3*0.5*I7*I7</f>
        <v>0.75</v>
      </c>
      <c r="N7">
        <f t="shared" si="0"/>
        <v>3</v>
      </c>
      <c r="O7">
        <f t="shared" ref="O7:O10" si="1">N7-M7</f>
        <v>2.25</v>
      </c>
      <c r="P7">
        <f t="shared" ref="P7:P10" si="2">O7/K7</f>
        <v>0.45</v>
      </c>
    </row>
    <row r="8" spans="5:16" x14ac:dyDescent="0.3">
      <c r="I8">
        <v>2</v>
      </c>
      <c r="J8">
        <v>3</v>
      </c>
      <c r="K8">
        <v>7</v>
      </c>
      <c r="M8">
        <f t="shared" si="0"/>
        <v>3</v>
      </c>
      <c r="N8">
        <f t="shared" si="0"/>
        <v>6.75</v>
      </c>
      <c r="O8">
        <f t="shared" si="1"/>
        <v>3.75</v>
      </c>
      <c r="P8">
        <f t="shared" si="2"/>
        <v>0.5357142857142857</v>
      </c>
    </row>
    <row r="9" spans="5:16" x14ac:dyDescent="0.3">
      <c r="I9">
        <v>3</v>
      </c>
      <c r="J9">
        <v>4</v>
      </c>
      <c r="K9">
        <v>9</v>
      </c>
      <c r="M9">
        <f t="shared" si="0"/>
        <v>6.75</v>
      </c>
      <c r="N9">
        <f t="shared" si="0"/>
        <v>12</v>
      </c>
      <c r="O9">
        <f t="shared" si="1"/>
        <v>5.25</v>
      </c>
      <c r="P9">
        <f t="shared" si="2"/>
        <v>0.58333333333333337</v>
      </c>
    </row>
    <row r="10" spans="5:16" x14ac:dyDescent="0.3">
      <c r="I10">
        <v>4</v>
      </c>
      <c r="J10">
        <v>5</v>
      </c>
      <c r="K10">
        <v>12</v>
      </c>
      <c r="M10">
        <f t="shared" si="0"/>
        <v>12</v>
      </c>
      <c r="N10">
        <f t="shared" si="0"/>
        <v>18.75</v>
      </c>
      <c r="O10">
        <f t="shared" si="1"/>
        <v>6.75</v>
      </c>
      <c r="P10">
        <f t="shared" si="2"/>
        <v>0.5625</v>
      </c>
    </row>
    <row r="12" spans="5:16" x14ac:dyDescent="0.3">
      <c r="E12">
        <v>2</v>
      </c>
      <c r="F12">
        <v>3</v>
      </c>
    </row>
    <row r="13" spans="5:16" x14ac:dyDescent="0.3">
      <c r="F13">
        <v>16</v>
      </c>
    </row>
    <row r="15" spans="5:16" x14ac:dyDescent="0.3">
      <c r="E15">
        <v>3</v>
      </c>
      <c r="F15">
        <v>4</v>
      </c>
    </row>
    <row r="16" spans="5:16" x14ac:dyDescent="0.3">
      <c r="F16">
        <v>21</v>
      </c>
    </row>
    <row r="19" spans="5:6" x14ac:dyDescent="0.3">
      <c r="E19">
        <v>4</v>
      </c>
      <c r="F19">
        <v>5</v>
      </c>
    </row>
    <row r="20" spans="5:6" x14ac:dyDescent="0.3">
      <c r="F20">
        <v>30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0F0A-C2CB-4DFE-95E4-9518EA12A05A}">
  <dimension ref="E3:P20"/>
  <sheetViews>
    <sheetView topLeftCell="B1" zoomScale="115" zoomScaleNormal="115" workbookViewId="0">
      <selection activeCell="B1" sqref="A1:XFD1048576"/>
    </sheetView>
  </sheetViews>
  <sheetFormatPr defaultRowHeight="14.4" x14ac:dyDescent="0.3"/>
  <sheetData>
    <row r="3" spans="5:16" x14ac:dyDescent="0.3">
      <c r="F3">
        <v>1.5</v>
      </c>
      <c r="G3" t="s">
        <v>0</v>
      </c>
      <c r="L3" t="s">
        <v>3</v>
      </c>
    </row>
    <row r="5" spans="5:16" x14ac:dyDescent="0.3">
      <c r="I5" t="s">
        <v>1</v>
      </c>
      <c r="J5" t="s">
        <v>2</v>
      </c>
    </row>
    <row r="6" spans="5:16" x14ac:dyDescent="0.3">
      <c r="E6">
        <v>1</v>
      </c>
      <c r="F6">
        <v>2</v>
      </c>
      <c r="I6">
        <v>0</v>
      </c>
      <c r="J6">
        <v>1</v>
      </c>
      <c r="K6">
        <v>4.5</v>
      </c>
      <c r="M6">
        <f>$F$3*0.5*I6*I6</f>
        <v>0</v>
      </c>
      <c r="N6">
        <f>$F$3*0.5*J6*J6</f>
        <v>0.75</v>
      </c>
      <c r="O6">
        <f>N6-M6</f>
        <v>0.75</v>
      </c>
      <c r="P6">
        <f>O6/K6</f>
        <v>0.16666666666666666</v>
      </c>
    </row>
    <row r="7" spans="5:16" x14ac:dyDescent="0.3">
      <c r="F7">
        <v>14</v>
      </c>
      <c r="I7">
        <v>1</v>
      </c>
      <c r="J7">
        <v>2</v>
      </c>
      <c r="K7">
        <v>5</v>
      </c>
      <c r="M7">
        <f t="shared" ref="M7:N10" si="0">$F$3*0.5*I7*I7</f>
        <v>0.75</v>
      </c>
      <c r="N7">
        <f t="shared" si="0"/>
        <v>3</v>
      </c>
      <c r="O7">
        <f t="shared" ref="O7:O10" si="1">N7-M7</f>
        <v>2.25</v>
      </c>
      <c r="P7">
        <f t="shared" ref="P7:P10" si="2">O7/K7</f>
        <v>0.45</v>
      </c>
    </row>
    <row r="8" spans="5:16" x14ac:dyDescent="0.3">
      <c r="I8">
        <v>2</v>
      </c>
      <c r="J8">
        <v>3</v>
      </c>
      <c r="K8">
        <f>24-16</f>
        <v>8</v>
      </c>
      <c r="M8">
        <f t="shared" si="0"/>
        <v>3</v>
      </c>
      <c r="N8">
        <f t="shared" si="0"/>
        <v>6.75</v>
      </c>
      <c r="O8">
        <f t="shared" si="1"/>
        <v>3.75</v>
      </c>
      <c r="P8">
        <f t="shared" si="2"/>
        <v>0.46875</v>
      </c>
    </row>
    <row r="9" spans="5:16" x14ac:dyDescent="0.3">
      <c r="I9">
        <v>3</v>
      </c>
      <c r="J9">
        <v>4</v>
      </c>
      <c r="K9">
        <v>12</v>
      </c>
      <c r="M9">
        <f t="shared" si="0"/>
        <v>6.75</v>
      </c>
      <c r="N9">
        <f t="shared" si="0"/>
        <v>12</v>
      </c>
      <c r="O9">
        <f t="shared" si="1"/>
        <v>5.25</v>
      </c>
      <c r="P9">
        <f t="shared" si="2"/>
        <v>0.4375</v>
      </c>
    </row>
    <row r="10" spans="5:16" x14ac:dyDescent="0.3">
      <c r="I10">
        <v>4</v>
      </c>
      <c r="J10">
        <v>5</v>
      </c>
      <c r="K10">
        <v>16</v>
      </c>
      <c r="M10">
        <f t="shared" si="0"/>
        <v>12</v>
      </c>
      <c r="N10">
        <f t="shared" si="0"/>
        <v>18.75</v>
      </c>
      <c r="O10">
        <f t="shared" si="1"/>
        <v>6.75</v>
      </c>
      <c r="P10">
        <f t="shared" si="2"/>
        <v>0.421875</v>
      </c>
    </row>
    <row r="12" spans="5:16" x14ac:dyDescent="0.3">
      <c r="E12">
        <v>2</v>
      </c>
      <c r="F12">
        <v>3</v>
      </c>
    </row>
    <row r="13" spans="5:16" x14ac:dyDescent="0.3">
      <c r="F13">
        <v>16</v>
      </c>
    </row>
    <row r="15" spans="5:16" x14ac:dyDescent="0.3">
      <c r="E15">
        <v>3</v>
      </c>
      <c r="F15">
        <v>4</v>
      </c>
    </row>
    <row r="16" spans="5:16" x14ac:dyDescent="0.3">
      <c r="F16">
        <v>21</v>
      </c>
    </row>
    <row r="19" spans="5:6" x14ac:dyDescent="0.3">
      <c r="E19">
        <v>4</v>
      </c>
      <c r="F19">
        <v>5</v>
      </c>
    </row>
    <row r="20" spans="5:6" x14ac:dyDescent="0.3">
      <c r="F20">
        <v>30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D687-D1BC-43F3-AF89-19A8A8A8B91A}">
  <dimension ref="E3:P20"/>
  <sheetViews>
    <sheetView topLeftCell="B1" zoomScale="115" zoomScaleNormal="115" workbookViewId="0">
      <selection activeCell="K11" sqref="K11"/>
    </sheetView>
  </sheetViews>
  <sheetFormatPr defaultRowHeight="14.4" x14ac:dyDescent="0.3"/>
  <sheetData>
    <row r="3" spans="5:16" x14ac:dyDescent="0.3">
      <c r="F3">
        <v>1.5</v>
      </c>
      <c r="G3" t="s">
        <v>0</v>
      </c>
      <c r="L3" t="s">
        <v>3</v>
      </c>
    </row>
    <row r="5" spans="5:16" x14ac:dyDescent="0.3">
      <c r="I5" t="s">
        <v>1</v>
      </c>
      <c r="J5" t="s">
        <v>2</v>
      </c>
    </row>
    <row r="6" spans="5:16" x14ac:dyDescent="0.3">
      <c r="E6">
        <v>1</v>
      </c>
      <c r="F6">
        <v>2</v>
      </c>
      <c r="I6">
        <v>0</v>
      </c>
      <c r="J6">
        <v>1</v>
      </c>
      <c r="K6">
        <v>3</v>
      </c>
      <c r="M6">
        <f>$F$3*0.5*I6*I6</f>
        <v>0</v>
      </c>
      <c r="N6">
        <f>$F$3*0.5*J6*J6</f>
        <v>0.75</v>
      </c>
      <c r="O6">
        <f>N6-M6</f>
        <v>0.75</v>
      </c>
      <c r="P6">
        <f>O6/K6</f>
        <v>0.25</v>
      </c>
    </row>
    <row r="7" spans="5:16" x14ac:dyDescent="0.3">
      <c r="F7">
        <v>14</v>
      </c>
      <c r="I7">
        <v>1</v>
      </c>
      <c r="J7">
        <v>2</v>
      </c>
      <c r="K7">
        <v>5</v>
      </c>
      <c r="M7">
        <f t="shared" ref="M7:N10" si="0">$F$3*0.5*I7*I7</f>
        <v>0.75</v>
      </c>
      <c r="N7">
        <f t="shared" si="0"/>
        <v>3</v>
      </c>
      <c r="O7">
        <f t="shared" ref="O7:O10" si="1">N7-M7</f>
        <v>2.25</v>
      </c>
      <c r="P7">
        <f t="shared" ref="P7:P10" si="2">O7/K7</f>
        <v>0.45</v>
      </c>
    </row>
    <row r="8" spans="5:16" x14ac:dyDescent="0.3">
      <c r="I8">
        <v>2</v>
      </c>
      <c r="J8">
        <v>3</v>
      </c>
      <c r="K8">
        <v>9</v>
      </c>
      <c r="M8">
        <f t="shared" si="0"/>
        <v>3</v>
      </c>
      <c r="N8">
        <f t="shared" si="0"/>
        <v>6.75</v>
      </c>
      <c r="O8">
        <f t="shared" si="1"/>
        <v>3.75</v>
      </c>
      <c r="P8">
        <f t="shared" si="2"/>
        <v>0.41666666666666669</v>
      </c>
    </row>
    <row r="9" spans="5:16" x14ac:dyDescent="0.3">
      <c r="I9">
        <v>3</v>
      </c>
      <c r="J9">
        <v>4</v>
      </c>
      <c r="K9">
        <f>35-18</f>
        <v>17</v>
      </c>
      <c r="M9">
        <f t="shared" si="0"/>
        <v>6.75</v>
      </c>
      <c r="N9">
        <f t="shared" si="0"/>
        <v>12</v>
      </c>
      <c r="O9">
        <f t="shared" si="1"/>
        <v>5.25</v>
      </c>
      <c r="P9">
        <f t="shared" si="2"/>
        <v>0.30882352941176472</v>
      </c>
    </row>
    <row r="10" spans="5:16" x14ac:dyDescent="0.3">
      <c r="I10">
        <v>4</v>
      </c>
      <c r="J10">
        <v>5</v>
      </c>
      <c r="K10">
        <v>24</v>
      </c>
      <c r="M10">
        <f t="shared" si="0"/>
        <v>12</v>
      </c>
      <c r="N10">
        <f t="shared" si="0"/>
        <v>18.75</v>
      </c>
      <c r="O10">
        <f t="shared" si="1"/>
        <v>6.75</v>
      </c>
      <c r="P10">
        <f t="shared" si="2"/>
        <v>0.28125</v>
      </c>
    </row>
    <row r="12" spans="5:16" x14ac:dyDescent="0.3">
      <c r="E12">
        <v>2</v>
      </c>
      <c r="F12">
        <v>3</v>
      </c>
    </row>
    <row r="13" spans="5:16" x14ac:dyDescent="0.3">
      <c r="F13">
        <v>16</v>
      </c>
    </row>
    <row r="15" spans="5:16" x14ac:dyDescent="0.3">
      <c r="E15">
        <v>3</v>
      </c>
      <c r="F15">
        <v>4</v>
      </c>
    </row>
    <row r="16" spans="5:16" x14ac:dyDescent="0.3">
      <c r="F16">
        <v>21</v>
      </c>
    </row>
    <row r="19" spans="5:6" x14ac:dyDescent="0.3">
      <c r="E19">
        <v>4</v>
      </c>
      <c r="F19">
        <v>5</v>
      </c>
    </row>
    <row r="20" spans="5:6" x14ac:dyDescent="0.3">
      <c r="F20">
        <v>30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235F-8373-4425-B371-C95D71050DBC}">
  <dimension ref="E2:P20"/>
  <sheetViews>
    <sheetView tabSelected="1" topLeftCell="B1" zoomScale="115" zoomScaleNormal="115" workbookViewId="0">
      <selection activeCell="T21" sqref="T21"/>
    </sheetView>
  </sheetViews>
  <sheetFormatPr defaultRowHeight="14.4" x14ac:dyDescent="0.3"/>
  <sheetData>
    <row r="2" spans="5:16" x14ac:dyDescent="0.3">
      <c r="L2" t="s">
        <v>6</v>
      </c>
    </row>
    <row r="3" spans="5:16" x14ac:dyDescent="0.3">
      <c r="F3">
        <v>1.5</v>
      </c>
      <c r="G3" t="s">
        <v>0</v>
      </c>
      <c r="L3" t="s">
        <v>3</v>
      </c>
    </row>
    <row r="5" spans="5:16" x14ac:dyDescent="0.3">
      <c r="I5" t="s">
        <v>1</v>
      </c>
      <c r="J5" t="s">
        <v>2</v>
      </c>
    </row>
    <row r="6" spans="5:16" x14ac:dyDescent="0.3">
      <c r="E6">
        <v>1</v>
      </c>
      <c r="F6">
        <v>2</v>
      </c>
      <c r="I6">
        <v>0</v>
      </c>
      <c r="J6">
        <v>1</v>
      </c>
      <c r="K6">
        <v>2</v>
      </c>
      <c r="M6">
        <f>$F$3*0.5*I6*I6</f>
        <v>0</v>
      </c>
      <c r="N6">
        <f>$F$3*0.5*J6*J6</f>
        <v>0.75</v>
      </c>
      <c r="O6">
        <f>N6-M6</f>
        <v>0.75</v>
      </c>
      <c r="P6">
        <f>O6/K6</f>
        <v>0.375</v>
      </c>
    </row>
    <row r="7" spans="5:16" x14ac:dyDescent="0.3">
      <c r="F7">
        <v>14</v>
      </c>
      <c r="I7">
        <v>1</v>
      </c>
      <c r="J7">
        <v>2</v>
      </c>
      <c r="K7">
        <v>3.9</v>
      </c>
      <c r="M7">
        <f t="shared" ref="M7:N10" si="0">$F$3*0.5*I7*I7</f>
        <v>0.75</v>
      </c>
      <c r="N7">
        <f t="shared" si="0"/>
        <v>3</v>
      </c>
      <c r="O7">
        <f t="shared" ref="O7:O10" si="1">N7-M7</f>
        <v>2.25</v>
      </c>
      <c r="P7">
        <f t="shared" ref="P7:P10" si="2">O7/K7</f>
        <v>0.57692307692307698</v>
      </c>
    </row>
    <row r="8" spans="5:16" x14ac:dyDescent="0.3">
      <c r="I8">
        <v>2</v>
      </c>
      <c r="J8">
        <v>3</v>
      </c>
      <c r="K8">
        <v>5.75</v>
      </c>
      <c r="M8">
        <f t="shared" si="0"/>
        <v>3</v>
      </c>
      <c r="N8">
        <f t="shared" si="0"/>
        <v>6.75</v>
      </c>
      <c r="O8">
        <f t="shared" si="1"/>
        <v>3.75</v>
      </c>
      <c r="P8">
        <f t="shared" si="2"/>
        <v>0.65217391304347827</v>
      </c>
    </row>
    <row r="9" spans="5:16" x14ac:dyDescent="0.3">
      <c r="I9">
        <v>3</v>
      </c>
      <c r="J9">
        <v>4</v>
      </c>
      <c r="K9">
        <v>10</v>
      </c>
      <c r="M9">
        <f t="shared" si="0"/>
        <v>6.75</v>
      </c>
      <c r="N9">
        <f t="shared" si="0"/>
        <v>12</v>
      </c>
      <c r="O9">
        <f t="shared" si="1"/>
        <v>5.25</v>
      </c>
      <c r="P9">
        <f t="shared" si="2"/>
        <v>0.52500000000000002</v>
      </c>
    </row>
    <row r="10" spans="5:16" x14ac:dyDescent="0.3">
      <c r="I10">
        <v>4</v>
      </c>
      <c r="J10">
        <v>5</v>
      </c>
      <c r="K10">
        <v>14.5</v>
      </c>
      <c r="M10">
        <f t="shared" si="0"/>
        <v>12</v>
      </c>
      <c r="N10">
        <f t="shared" si="0"/>
        <v>18.75</v>
      </c>
      <c r="O10">
        <f t="shared" si="1"/>
        <v>6.75</v>
      </c>
      <c r="P10">
        <f t="shared" si="2"/>
        <v>0.46551724137931033</v>
      </c>
    </row>
    <row r="12" spans="5:16" x14ac:dyDescent="0.3">
      <c r="E12">
        <v>2</v>
      </c>
      <c r="F12">
        <v>3</v>
      </c>
    </row>
    <row r="13" spans="5:16" x14ac:dyDescent="0.3">
      <c r="F13">
        <v>16</v>
      </c>
    </row>
    <row r="15" spans="5:16" x14ac:dyDescent="0.3">
      <c r="E15">
        <v>3</v>
      </c>
      <c r="F15">
        <v>4</v>
      </c>
    </row>
    <row r="16" spans="5:16" x14ac:dyDescent="0.3">
      <c r="F16">
        <v>21</v>
      </c>
    </row>
    <row r="19" spans="5:6" x14ac:dyDescent="0.3">
      <c r="E19">
        <v>4</v>
      </c>
      <c r="F19">
        <v>5</v>
      </c>
    </row>
    <row r="20" spans="5:6" x14ac:dyDescent="0.3">
      <c r="F20">
        <v>30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B0FB-9537-4D56-801D-330C401CC992}">
  <dimension ref="E2:P20"/>
  <sheetViews>
    <sheetView topLeftCell="B1" zoomScale="115" zoomScaleNormal="115" workbookViewId="0">
      <selection activeCell="L3" sqref="L3"/>
    </sheetView>
  </sheetViews>
  <sheetFormatPr defaultRowHeight="14.4" x14ac:dyDescent="0.3"/>
  <sheetData>
    <row r="2" spans="5:16" x14ac:dyDescent="0.3">
      <c r="L2">
        <v>0.7</v>
      </c>
    </row>
    <row r="3" spans="5:16" x14ac:dyDescent="0.3">
      <c r="F3">
        <v>1.5</v>
      </c>
      <c r="G3" t="s">
        <v>0</v>
      </c>
      <c r="L3" t="s">
        <v>3</v>
      </c>
    </row>
    <row r="5" spans="5:16" x14ac:dyDescent="0.3">
      <c r="I5" t="s">
        <v>1</v>
      </c>
      <c r="J5" t="s">
        <v>2</v>
      </c>
    </row>
    <row r="6" spans="5:16" x14ac:dyDescent="0.3">
      <c r="E6">
        <v>1</v>
      </c>
      <c r="F6">
        <v>2</v>
      </c>
      <c r="I6">
        <v>0</v>
      </c>
      <c r="J6">
        <v>1</v>
      </c>
      <c r="K6">
        <v>2</v>
      </c>
      <c r="M6">
        <f>$F$3*0.5*I6*I6</f>
        <v>0</v>
      </c>
      <c r="N6">
        <f>$F$3*0.5*J6*J6</f>
        <v>0.75</v>
      </c>
      <c r="O6">
        <f>N6-M6</f>
        <v>0.75</v>
      </c>
      <c r="P6">
        <f>O6/K6</f>
        <v>0.375</v>
      </c>
    </row>
    <row r="7" spans="5:16" x14ac:dyDescent="0.3">
      <c r="F7">
        <v>14</v>
      </c>
      <c r="I7">
        <v>1</v>
      </c>
      <c r="J7">
        <v>2</v>
      </c>
      <c r="K7">
        <v>4</v>
      </c>
      <c r="M7">
        <f t="shared" ref="M7:N10" si="0">$F$3*0.5*I7*I7</f>
        <v>0.75</v>
      </c>
      <c r="N7">
        <f t="shared" si="0"/>
        <v>3</v>
      </c>
      <c r="O7">
        <f t="shared" ref="O7:O10" si="1">N7-M7</f>
        <v>2.25</v>
      </c>
      <c r="P7">
        <f t="shared" ref="P7:P10" si="2">O7/K7</f>
        <v>0.5625</v>
      </c>
    </row>
    <row r="8" spans="5:16" x14ac:dyDescent="0.3">
      <c r="I8">
        <v>2</v>
      </c>
      <c r="J8">
        <v>3</v>
      </c>
      <c r="K8">
        <f>13-7</f>
        <v>6</v>
      </c>
      <c r="M8">
        <f t="shared" si="0"/>
        <v>3</v>
      </c>
      <c r="N8">
        <f t="shared" si="0"/>
        <v>6.75</v>
      </c>
      <c r="O8">
        <f t="shared" si="1"/>
        <v>3.75</v>
      </c>
      <c r="P8">
        <f t="shared" si="2"/>
        <v>0.625</v>
      </c>
    </row>
    <row r="9" spans="5:16" x14ac:dyDescent="0.3">
      <c r="I9">
        <v>3</v>
      </c>
      <c r="J9">
        <v>4</v>
      </c>
      <c r="K9">
        <v>13</v>
      </c>
      <c r="M9">
        <f t="shared" si="0"/>
        <v>6.75</v>
      </c>
      <c r="N9">
        <f t="shared" si="0"/>
        <v>12</v>
      </c>
      <c r="O9">
        <f t="shared" si="1"/>
        <v>5.25</v>
      </c>
      <c r="P9">
        <f t="shared" si="2"/>
        <v>0.40384615384615385</v>
      </c>
    </row>
    <row r="10" spans="5:16" x14ac:dyDescent="0.3">
      <c r="I10">
        <v>4</v>
      </c>
      <c r="J10">
        <v>5</v>
      </c>
      <c r="K10">
        <v>22</v>
      </c>
      <c r="M10">
        <f t="shared" si="0"/>
        <v>12</v>
      </c>
      <c r="N10">
        <f t="shared" si="0"/>
        <v>18.75</v>
      </c>
      <c r="O10">
        <f t="shared" si="1"/>
        <v>6.75</v>
      </c>
      <c r="P10">
        <f t="shared" si="2"/>
        <v>0.30681818181818182</v>
      </c>
    </row>
    <row r="12" spans="5:16" x14ac:dyDescent="0.3">
      <c r="E12">
        <v>2</v>
      </c>
      <c r="F12">
        <v>3</v>
      </c>
    </row>
    <row r="13" spans="5:16" x14ac:dyDescent="0.3">
      <c r="F13">
        <v>16</v>
      </c>
    </row>
    <row r="15" spans="5:16" x14ac:dyDescent="0.3">
      <c r="E15">
        <v>3</v>
      </c>
      <c r="F15">
        <v>4</v>
      </c>
    </row>
    <row r="16" spans="5:16" x14ac:dyDescent="0.3">
      <c r="F16">
        <v>21</v>
      </c>
    </row>
    <row r="19" spans="5:6" x14ac:dyDescent="0.3">
      <c r="E19">
        <v>4</v>
      </c>
      <c r="F19">
        <v>5</v>
      </c>
    </row>
    <row r="20" spans="5:6" x14ac:dyDescent="0.3">
      <c r="F20">
        <v>30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4312-31B1-41F3-B54D-5CBAE61A74A3}">
  <dimension ref="E2:P20"/>
  <sheetViews>
    <sheetView topLeftCell="B1" zoomScale="115" zoomScaleNormal="115" workbookViewId="0">
      <selection activeCell="K11" sqref="K11"/>
    </sheetView>
  </sheetViews>
  <sheetFormatPr defaultRowHeight="14.4" x14ac:dyDescent="0.3"/>
  <sheetData>
    <row r="2" spans="5:16" x14ac:dyDescent="0.3">
      <c r="L2">
        <v>0.35</v>
      </c>
    </row>
    <row r="3" spans="5:16" x14ac:dyDescent="0.3">
      <c r="F3">
        <v>1.5</v>
      </c>
      <c r="G3" t="s">
        <v>0</v>
      </c>
      <c r="L3" t="s">
        <v>3</v>
      </c>
    </row>
    <row r="5" spans="5:16" x14ac:dyDescent="0.3">
      <c r="I5" t="s">
        <v>1</v>
      </c>
      <c r="J5" t="s">
        <v>2</v>
      </c>
    </row>
    <row r="6" spans="5:16" x14ac:dyDescent="0.3">
      <c r="E6">
        <v>1</v>
      </c>
      <c r="F6">
        <v>2</v>
      </c>
      <c r="I6">
        <v>0</v>
      </c>
      <c r="J6">
        <v>1</v>
      </c>
      <c r="K6">
        <v>3</v>
      </c>
      <c r="M6">
        <f>$F$3*0.5*I6*I6</f>
        <v>0</v>
      </c>
      <c r="N6">
        <f>$F$3*0.5*J6*J6</f>
        <v>0.75</v>
      </c>
      <c r="O6">
        <f>N6-M6</f>
        <v>0.75</v>
      </c>
      <c r="P6">
        <f>O6/K6</f>
        <v>0.25</v>
      </c>
    </row>
    <row r="7" spans="5:16" x14ac:dyDescent="0.3">
      <c r="F7">
        <v>14</v>
      </c>
      <c r="I7">
        <v>1</v>
      </c>
      <c r="J7">
        <v>2</v>
      </c>
      <c r="K7">
        <v>4</v>
      </c>
      <c r="M7">
        <f t="shared" ref="M7:N10" si="0">$F$3*0.5*I7*I7</f>
        <v>0.75</v>
      </c>
      <c r="N7">
        <f t="shared" si="0"/>
        <v>3</v>
      </c>
      <c r="O7">
        <f t="shared" ref="O7:O10" si="1">N7-M7</f>
        <v>2.25</v>
      </c>
      <c r="P7">
        <f t="shared" ref="P7:P10" si="2">O7/K7</f>
        <v>0.5625</v>
      </c>
    </row>
    <row r="8" spans="5:16" x14ac:dyDescent="0.3">
      <c r="I8">
        <v>2</v>
      </c>
      <c r="J8">
        <v>3</v>
      </c>
      <c r="K8">
        <v>7</v>
      </c>
      <c r="M8">
        <f t="shared" si="0"/>
        <v>3</v>
      </c>
      <c r="N8">
        <f t="shared" si="0"/>
        <v>6.75</v>
      </c>
      <c r="O8">
        <f t="shared" si="1"/>
        <v>3.75</v>
      </c>
      <c r="P8">
        <f t="shared" si="2"/>
        <v>0.5357142857142857</v>
      </c>
    </row>
    <row r="9" spans="5:16" x14ac:dyDescent="0.3">
      <c r="I9">
        <v>3</v>
      </c>
      <c r="J9">
        <v>4</v>
      </c>
      <c r="K9">
        <v>14</v>
      </c>
      <c r="M9">
        <f t="shared" si="0"/>
        <v>6.75</v>
      </c>
      <c r="N9">
        <f t="shared" si="0"/>
        <v>12</v>
      </c>
      <c r="O9">
        <f t="shared" si="1"/>
        <v>5.25</v>
      </c>
      <c r="P9">
        <f t="shared" si="2"/>
        <v>0.375</v>
      </c>
    </row>
    <row r="10" spans="5:16" x14ac:dyDescent="0.3">
      <c r="I10">
        <v>4</v>
      </c>
      <c r="J10">
        <v>5</v>
      </c>
      <c r="K10">
        <v>22</v>
      </c>
      <c r="M10">
        <f t="shared" si="0"/>
        <v>12</v>
      </c>
      <c r="N10">
        <f t="shared" si="0"/>
        <v>18.75</v>
      </c>
      <c r="O10">
        <f t="shared" si="1"/>
        <v>6.75</v>
      </c>
      <c r="P10">
        <f t="shared" si="2"/>
        <v>0.30681818181818182</v>
      </c>
    </row>
    <row r="12" spans="5:16" x14ac:dyDescent="0.3">
      <c r="E12">
        <v>2</v>
      </c>
      <c r="F12">
        <v>3</v>
      </c>
    </row>
    <row r="13" spans="5:16" x14ac:dyDescent="0.3">
      <c r="F13">
        <v>16</v>
      </c>
    </row>
    <row r="15" spans="5:16" x14ac:dyDescent="0.3">
      <c r="E15">
        <v>3</v>
      </c>
      <c r="F15">
        <v>4</v>
      </c>
    </row>
    <row r="16" spans="5:16" x14ac:dyDescent="0.3">
      <c r="F16">
        <v>21</v>
      </c>
    </row>
    <row r="19" spans="5:6" x14ac:dyDescent="0.3">
      <c r="E19">
        <v>4</v>
      </c>
      <c r="F19">
        <v>5</v>
      </c>
    </row>
    <row r="20" spans="5:6" x14ac:dyDescent="0.3">
      <c r="F20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metal</vt:lpstr>
      <vt:lpstr>All metal (2)</vt:lpstr>
      <vt:lpstr>All metal (3)</vt:lpstr>
      <vt:lpstr>All metal (4)</vt:lpstr>
      <vt:lpstr>All metal (5)</vt:lpstr>
      <vt:lpstr>All metal (6)</vt:lpstr>
      <vt:lpstr>NEW</vt:lpstr>
      <vt:lpstr>NEW (2)</vt:lpstr>
      <vt:lpstr>NEW (3)</vt:lpstr>
      <vt:lpstr>NEW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Alejandro</cp:lastModifiedBy>
  <dcterms:created xsi:type="dcterms:W3CDTF">2023-04-12T00:06:35Z</dcterms:created>
  <dcterms:modified xsi:type="dcterms:W3CDTF">2023-04-26T01:22:20Z</dcterms:modified>
</cp:coreProperties>
</file>